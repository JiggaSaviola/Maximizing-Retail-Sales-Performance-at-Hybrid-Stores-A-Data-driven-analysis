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hidePivotFieldList="1"/>
  <bookViews>
    <workbookView xWindow="0" yWindow="0" windowWidth="19420" windowHeight="7260" activeTab="1"/>
  </bookViews>
  <sheets>
    <sheet name="PIVOT TABLE" sheetId="4" r:id="rId1"/>
    <sheet name="Dashboard" sheetId="3" r:id="rId2"/>
    <sheet name="Data Set" sheetId="1" r:id="rId3"/>
  </sheets>
  <definedNames>
    <definedName name="_xlnm._FilterDatabase" localSheetId="2" hidden="1">'Data Set'!$E$1:$E$100</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01" i="1" l="1"/>
  <c r="O101" i="1"/>
  <c r="N101" i="1"/>
  <c r="M101" i="1"/>
  <c r="J101" i="1"/>
  <c r="P100" i="1"/>
  <c r="O100" i="1"/>
  <c r="N100" i="1"/>
  <c r="M100" i="1"/>
  <c r="G100" i="1"/>
  <c r="P99" i="1"/>
  <c r="O99" i="1"/>
  <c r="N99" i="1"/>
  <c r="M99" i="1"/>
  <c r="G99" i="1"/>
  <c r="P98" i="1"/>
  <c r="O98" i="1"/>
  <c r="N98" i="1"/>
  <c r="M98" i="1"/>
  <c r="G98" i="1"/>
  <c r="P97" i="1"/>
  <c r="O97" i="1"/>
  <c r="N97" i="1"/>
  <c r="M97" i="1"/>
  <c r="G97" i="1"/>
  <c r="P96" i="1"/>
  <c r="O96" i="1"/>
  <c r="N96" i="1"/>
  <c r="M96" i="1"/>
  <c r="G96" i="1"/>
  <c r="P95" i="1"/>
  <c r="O95" i="1"/>
  <c r="N95" i="1"/>
  <c r="M95" i="1"/>
  <c r="G95" i="1"/>
  <c r="P94" i="1"/>
  <c r="O94" i="1"/>
  <c r="N94" i="1"/>
  <c r="M94" i="1"/>
  <c r="G94" i="1"/>
  <c r="P93" i="1"/>
  <c r="O93" i="1"/>
  <c r="N93" i="1"/>
  <c r="M93" i="1"/>
  <c r="G93" i="1"/>
  <c r="P92" i="1"/>
  <c r="O92" i="1"/>
  <c r="N92" i="1"/>
  <c r="M92" i="1"/>
  <c r="G92" i="1"/>
  <c r="P91" i="1"/>
  <c r="O91" i="1"/>
  <c r="N91" i="1"/>
  <c r="M91" i="1"/>
  <c r="G91" i="1"/>
  <c r="P90" i="1"/>
  <c r="O90" i="1"/>
  <c r="N90" i="1"/>
  <c r="M90" i="1"/>
  <c r="G90" i="1"/>
  <c r="P89" i="1"/>
  <c r="O89" i="1"/>
  <c r="N89" i="1"/>
  <c r="M89" i="1"/>
  <c r="G89" i="1"/>
  <c r="P88" i="1"/>
  <c r="O88" i="1"/>
  <c r="N88" i="1"/>
  <c r="M88" i="1"/>
  <c r="G88" i="1"/>
  <c r="P87" i="1"/>
  <c r="O87" i="1"/>
  <c r="N87" i="1"/>
  <c r="M87" i="1"/>
  <c r="G87" i="1"/>
  <c r="P86" i="1"/>
  <c r="O86" i="1"/>
  <c r="N86" i="1"/>
  <c r="M86" i="1"/>
  <c r="G86" i="1"/>
  <c r="P85" i="1"/>
  <c r="O85" i="1"/>
  <c r="N85" i="1"/>
  <c r="M85" i="1"/>
  <c r="G85" i="1"/>
  <c r="P84" i="1"/>
  <c r="O84" i="1"/>
  <c r="N84" i="1"/>
  <c r="M84" i="1"/>
  <c r="G84" i="1"/>
  <c r="P83" i="1"/>
  <c r="O83" i="1"/>
  <c r="N83" i="1"/>
  <c r="M83" i="1"/>
  <c r="G83" i="1"/>
  <c r="P82" i="1"/>
  <c r="O82" i="1"/>
  <c r="N82" i="1"/>
  <c r="M82" i="1"/>
  <c r="G82" i="1"/>
  <c r="P81" i="1"/>
  <c r="O81" i="1"/>
  <c r="N81" i="1"/>
  <c r="M81" i="1"/>
  <c r="G81" i="1"/>
  <c r="P80" i="1"/>
  <c r="O80" i="1"/>
  <c r="N80" i="1"/>
  <c r="M80" i="1"/>
  <c r="G80" i="1"/>
  <c r="P79" i="1"/>
  <c r="O79" i="1"/>
  <c r="N79" i="1"/>
  <c r="M79" i="1"/>
  <c r="G79" i="1"/>
  <c r="P78" i="1"/>
  <c r="O78" i="1"/>
  <c r="N78" i="1"/>
  <c r="M78" i="1"/>
  <c r="G78" i="1"/>
  <c r="P77" i="1"/>
  <c r="O77" i="1"/>
  <c r="N77" i="1"/>
  <c r="M77" i="1"/>
  <c r="G77" i="1"/>
  <c r="P76" i="1"/>
  <c r="O76" i="1"/>
  <c r="N76" i="1"/>
  <c r="M76" i="1"/>
  <c r="G76" i="1"/>
  <c r="P75" i="1"/>
  <c r="O75" i="1"/>
  <c r="N75" i="1"/>
  <c r="M75" i="1"/>
  <c r="G75" i="1"/>
  <c r="P74" i="1"/>
  <c r="O74" i="1"/>
  <c r="N74" i="1"/>
  <c r="M74" i="1"/>
  <c r="G74" i="1"/>
  <c r="P73" i="1"/>
  <c r="O73" i="1"/>
  <c r="N73" i="1"/>
  <c r="M73" i="1"/>
  <c r="G73" i="1"/>
  <c r="P72" i="1"/>
  <c r="O72" i="1"/>
  <c r="N72" i="1"/>
  <c r="M72" i="1"/>
  <c r="G72" i="1"/>
  <c r="P71" i="1"/>
  <c r="O71" i="1"/>
  <c r="N71" i="1"/>
  <c r="M71" i="1"/>
  <c r="G71" i="1"/>
  <c r="P70" i="1"/>
  <c r="O70" i="1"/>
  <c r="N70" i="1"/>
  <c r="M70" i="1"/>
  <c r="G70" i="1"/>
  <c r="P69" i="1"/>
  <c r="O69" i="1"/>
  <c r="N69" i="1"/>
  <c r="M69" i="1"/>
  <c r="G69" i="1"/>
  <c r="P68" i="1"/>
  <c r="O68" i="1"/>
  <c r="N68" i="1"/>
  <c r="M68" i="1"/>
  <c r="G68" i="1"/>
  <c r="P67" i="1"/>
  <c r="O67" i="1"/>
  <c r="N67" i="1"/>
  <c r="M67" i="1"/>
  <c r="G67" i="1"/>
  <c r="P66" i="1"/>
  <c r="O66" i="1"/>
  <c r="N66" i="1"/>
  <c r="M66" i="1"/>
  <c r="G66" i="1"/>
  <c r="P65" i="1"/>
  <c r="O65" i="1"/>
  <c r="N65" i="1"/>
  <c r="M65" i="1"/>
  <c r="G65" i="1"/>
  <c r="P64" i="1"/>
  <c r="O64" i="1"/>
  <c r="N64" i="1"/>
  <c r="M64" i="1"/>
  <c r="G64" i="1"/>
  <c r="P63" i="1"/>
  <c r="O63" i="1"/>
  <c r="N63" i="1"/>
  <c r="M63" i="1"/>
  <c r="G63" i="1"/>
  <c r="P62" i="1"/>
  <c r="O62" i="1"/>
  <c r="N62" i="1"/>
  <c r="M62" i="1"/>
  <c r="G62" i="1"/>
  <c r="P61" i="1"/>
  <c r="O61" i="1"/>
  <c r="N61" i="1"/>
  <c r="M61" i="1"/>
  <c r="G61" i="1"/>
  <c r="P60" i="1"/>
  <c r="O60" i="1"/>
  <c r="N60" i="1"/>
  <c r="M60" i="1"/>
  <c r="G60" i="1"/>
  <c r="P59" i="1"/>
  <c r="O59" i="1"/>
  <c r="N59" i="1"/>
  <c r="M59" i="1"/>
  <c r="G59" i="1"/>
  <c r="P58" i="1"/>
  <c r="O58" i="1"/>
  <c r="N58" i="1"/>
  <c r="M58" i="1"/>
  <c r="G58" i="1"/>
  <c r="P57" i="1"/>
  <c r="O57" i="1"/>
  <c r="N57" i="1"/>
  <c r="M57" i="1"/>
  <c r="G57" i="1"/>
  <c r="P56" i="1"/>
  <c r="O56" i="1"/>
  <c r="N56" i="1"/>
  <c r="M56" i="1"/>
  <c r="G56" i="1"/>
  <c r="P55" i="1"/>
  <c r="O55" i="1"/>
  <c r="N55" i="1"/>
  <c r="M55" i="1"/>
  <c r="G55" i="1"/>
  <c r="P54" i="1"/>
  <c r="O54" i="1"/>
  <c r="N54" i="1"/>
  <c r="M54" i="1"/>
  <c r="G54" i="1"/>
  <c r="P53" i="1"/>
  <c r="O53" i="1"/>
  <c r="N53" i="1"/>
  <c r="M53" i="1"/>
  <c r="G53" i="1"/>
  <c r="P52" i="1"/>
  <c r="O52" i="1"/>
  <c r="N52" i="1"/>
  <c r="M52" i="1"/>
  <c r="G52" i="1"/>
  <c r="P51" i="1"/>
  <c r="O51" i="1"/>
  <c r="N51" i="1"/>
  <c r="M51" i="1"/>
  <c r="G51" i="1"/>
  <c r="P50" i="1"/>
  <c r="O50" i="1"/>
  <c r="N50" i="1"/>
  <c r="M50" i="1"/>
  <c r="G50" i="1"/>
  <c r="P49" i="1"/>
  <c r="O49" i="1"/>
  <c r="N49" i="1"/>
  <c r="M49" i="1"/>
  <c r="G49" i="1"/>
  <c r="P48" i="1"/>
  <c r="O48" i="1"/>
  <c r="N48" i="1"/>
  <c r="M48" i="1"/>
  <c r="G48" i="1"/>
  <c r="P47" i="1"/>
  <c r="O47" i="1"/>
  <c r="N47" i="1"/>
  <c r="M47" i="1"/>
  <c r="G47" i="1"/>
  <c r="P46" i="1"/>
  <c r="O46" i="1"/>
  <c r="N46" i="1"/>
  <c r="M46" i="1"/>
  <c r="G46" i="1"/>
  <c r="P45" i="1"/>
  <c r="O45" i="1"/>
  <c r="N45" i="1"/>
  <c r="M45" i="1"/>
  <c r="G45" i="1"/>
  <c r="P44" i="1"/>
  <c r="O44" i="1"/>
  <c r="N44" i="1"/>
  <c r="M44" i="1"/>
  <c r="G44" i="1"/>
  <c r="P43" i="1"/>
  <c r="O43" i="1"/>
  <c r="N43" i="1"/>
  <c r="M43" i="1"/>
  <c r="G43" i="1"/>
  <c r="P42" i="1"/>
  <c r="O42" i="1"/>
  <c r="N42" i="1"/>
  <c r="M42" i="1"/>
  <c r="G42" i="1"/>
  <c r="P41" i="1"/>
  <c r="O41" i="1"/>
  <c r="N41" i="1"/>
  <c r="M41" i="1"/>
  <c r="G41" i="1"/>
  <c r="P40" i="1"/>
  <c r="O40" i="1"/>
  <c r="N40" i="1"/>
  <c r="M40" i="1"/>
  <c r="G40" i="1"/>
  <c r="P39" i="1"/>
  <c r="O39" i="1"/>
  <c r="N39" i="1"/>
  <c r="M39" i="1"/>
  <c r="G39" i="1"/>
  <c r="P38" i="1"/>
  <c r="O38" i="1"/>
  <c r="N38" i="1"/>
  <c r="M38" i="1"/>
  <c r="G38" i="1"/>
  <c r="P37" i="1"/>
  <c r="O37" i="1"/>
  <c r="N37" i="1"/>
  <c r="M37" i="1"/>
  <c r="G37" i="1"/>
  <c r="P36" i="1"/>
  <c r="O36" i="1"/>
  <c r="N36" i="1"/>
  <c r="M36" i="1"/>
  <c r="G36" i="1"/>
  <c r="P35" i="1"/>
  <c r="O35" i="1"/>
  <c r="N35" i="1"/>
  <c r="M35" i="1"/>
  <c r="G35" i="1"/>
  <c r="P34" i="1"/>
  <c r="O34" i="1"/>
  <c r="N34" i="1"/>
  <c r="M34" i="1"/>
  <c r="G34" i="1"/>
  <c r="P33" i="1"/>
  <c r="O33" i="1"/>
  <c r="N33" i="1"/>
  <c r="M33" i="1"/>
  <c r="G33" i="1"/>
  <c r="P32" i="1"/>
  <c r="O32" i="1"/>
  <c r="N32" i="1"/>
  <c r="M32" i="1"/>
  <c r="G32" i="1"/>
  <c r="P31" i="1"/>
  <c r="O31" i="1"/>
  <c r="N31" i="1"/>
  <c r="M31" i="1"/>
  <c r="G31" i="1"/>
  <c r="P30" i="1"/>
  <c r="O30" i="1"/>
  <c r="N30" i="1"/>
  <c r="M30" i="1"/>
  <c r="G30" i="1"/>
  <c r="P29" i="1"/>
  <c r="O29" i="1"/>
  <c r="N29" i="1"/>
  <c r="M29" i="1"/>
  <c r="G29" i="1"/>
  <c r="P28" i="1"/>
  <c r="O28" i="1"/>
  <c r="N28" i="1"/>
  <c r="M28" i="1"/>
  <c r="G28" i="1"/>
  <c r="P27" i="1"/>
  <c r="O27" i="1"/>
  <c r="N27" i="1"/>
  <c r="M27" i="1"/>
  <c r="G27" i="1"/>
  <c r="P26" i="1"/>
  <c r="O26" i="1"/>
  <c r="N26" i="1"/>
  <c r="M26" i="1"/>
  <c r="G26" i="1"/>
  <c r="P25" i="1"/>
  <c r="O25" i="1"/>
  <c r="N25" i="1"/>
  <c r="M25" i="1"/>
  <c r="G25" i="1"/>
  <c r="P24" i="1"/>
  <c r="O24" i="1"/>
  <c r="N24" i="1"/>
  <c r="M24" i="1"/>
  <c r="G24" i="1"/>
  <c r="P23" i="1"/>
  <c r="O23" i="1"/>
  <c r="N23" i="1"/>
  <c r="M23" i="1"/>
  <c r="G23" i="1"/>
  <c r="P22" i="1"/>
  <c r="O22" i="1"/>
  <c r="N22" i="1"/>
  <c r="M22" i="1"/>
  <c r="G22" i="1"/>
  <c r="P21" i="1"/>
  <c r="O21" i="1"/>
  <c r="N21" i="1"/>
  <c r="M21" i="1"/>
  <c r="G21" i="1"/>
  <c r="P20" i="1"/>
  <c r="O20" i="1"/>
  <c r="N20" i="1"/>
  <c r="M20" i="1"/>
  <c r="G20" i="1"/>
  <c r="P19" i="1"/>
  <c r="O19" i="1"/>
  <c r="N19" i="1"/>
  <c r="M19" i="1"/>
  <c r="G19" i="1"/>
  <c r="P18" i="1"/>
  <c r="O18" i="1"/>
  <c r="N18" i="1"/>
  <c r="M18" i="1"/>
  <c r="G18" i="1"/>
  <c r="P17" i="1"/>
  <c r="O17" i="1"/>
  <c r="N17" i="1"/>
  <c r="M17" i="1"/>
  <c r="G17" i="1"/>
  <c r="P16" i="1"/>
  <c r="O16" i="1"/>
  <c r="N16" i="1"/>
  <c r="M16" i="1"/>
  <c r="G16" i="1"/>
  <c r="P15" i="1"/>
  <c r="O15" i="1"/>
  <c r="N15" i="1"/>
  <c r="M15" i="1"/>
  <c r="G15" i="1"/>
  <c r="P14" i="1"/>
  <c r="O14" i="1"/>
  <c r="N14" i="1"/>
  <c r="M14" i="1"/>
  <c r="G14" i="1"/>
  <c r="P13" i="1"/>
  <c r="O13" i="1"/>
  <c r="N13" i="1"/>
  <c r="M13" i="1"/>
  <c r="G13" i="1"/>
  <c r="P12" i="1"/>
  <c r="O12" i="1"/>
  <c r="N12" i="1"/>
  <c r="M12" i="1"/>
  <c r="G12" i="1"/>
  <c r="P11" i="1"/>
  <c r="O11" i="1"/>
  <c r="N11" i="1"/>
  <c r="M11" i="1"/>
  <c r="G11" i="1"/>
  <c r="P10" i="1"/>
  <c r="O10" i="1"/>
  <c r="N10" i="1"/>
  <c r="M10" i="1"/>
  <c r="G10" i="1"/>
  <c r="P9" i="1"/>
  <c r="O9" i="1"/>
  <c r="N9" i="1"/>
  <c r="M9" i="1"/>
  <c r="G9" i="1"/>
  <c r="P8" i="1"/>
  <c r="O8" i="1"/>
  <c r="N8" i="1"/>
  <c r="M8" i="1"/>
  <c r="G8" i="1"/>
  <c r="P7" i="1"/>
  <c r="O7" i="1"/>
  <c r="N7" i="1"/>
  <c r="M7" i="1"/>
  <c r="G7" i="1"/>
  <c r="P6" i="1"/>
  <c r="O6" i="1"/>
  <c r="N6" i="1"/>
  <c r="M6" i="1"/>
  <c r="G6" i="1"/>
  <c r="P5" i="1"/>
  <c r="O5" i="1"/>
  <c r="N5" i="1"/>
  <c r="M5" i="1"/>
  <c r="G5" i="1"/>
  <c r="P4" i="1"/>
  <c r="O4" i="1"/>
  <c r="N4" i="1"/>
  <c r="M4" i="1"/>
  <c r="G4" i="1"/>
  <c r="P3" i="1"/>
  <c r="O3" i="1"/>
  <c r="N3" i="1"/>
  <c r="M3" i="1"/>
  <c r="G3" i="1"/>
  <c r="Q2" i="1"/>
  <c r="P2" i="1"/>
  <c r="O2" i="1"/>
  <c r="N2" i="1"/>
  <c r="M2" i="1"/>
  <c r="G2" i="1"/>
  <c r="B9" i="3"/>
  <c r="E6" i="3"/>
  <c r="I6" i="3"/>
  <c r="Q6" i="3"/>
  <c r="M6" i="3"/>
  <c r="B13" i="3"/>
</calcChain>
</file>

<file path=xl/sharedStrings.xml><?xml version="1.0" encoding="utf-8"?>
<sst xmlns="http://schemas.openxmlformats.org/spreadsheetml/2006/main" count="600" uniqueCount="133">
  <si>
    <t>Region</t>
  </si>
  <si>
    <t>Country</t>
  </si>
  <si>
    <t>Item Type</t>
  </si>
  <si>
    <t>Sales Channel</t>
  </si>
  <si>
    <t>Order Priority</t>
  </si>
  <si>
    <t>Order Date</t>
  </si>
  <si>
    <t>Order ID</t>
  </si>
  <si>
    <t>Ship Date</t>
  </si>
  <si>
    <t>Units Sold</t>
  </si>
  <si>
    <t>Unit Price</t>
  </si>
  <si>
    <t>Unit Cost</t>
  </si>
  <si>
    <t>Australia and Oceania</t>
  </si>
  <si>
    <t>Tuvalu</t>
  </si>
  <si>
    <t>Baby Food</t>
  </si>
  <si>
    <t>Offline</t>
  </si>
  <si>
    <t>H</t>
  </si>
  <si>
    <t>Central America and the Caribbean</t>
  </si>
  <si>
    <t>Cereal</t>
  </si>
  <si>
    <t>Online</t>
  </si>
  <si>
    <t>C</t>
  </si>
  <si>
    <t>Europe</t>
  </si>
  <si>
    <t>Sub-Saharan Africa</t>
  </si>
  <si>
    <t>Sao Tome and Principe</t>
  </si>
  <si>
    <t>Fruits</t>
  </si>
  <si>
    <t>Rwanda</t>
  </si>
  <si>
    <t>Office Supplies</t>
  </si>
  <si>
    <t>L</t>
  </si>
  <si>
    <t>Solomon Islands</t>
  </si>
  <si>
    <t>Angola</t>
  </si>
  <si>
    <t>Household</t>
  </si>
  <si>
    <t>M</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</si>
  <si>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</si>
  <si>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</si>
  <si>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</si>
  <si>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</si>
  <si>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</si>
  <si>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</si>
  <si>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</si>
  <si>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</si>
  <si>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</si>
  <si>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</si>
  <si>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</si>
  <si>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</si>
  <si>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</si>
  <si>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</si>
  <si>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</si>
  <si>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</si>
  <si>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</si>
  <si>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</si>
  <si>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</si>
  <si>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</si>
  <si>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</si>
  <si>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</si>
  <si>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</si>
  <si>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</si>
  <si>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</si>
  <si>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</si>
  <si>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</si>
  <si>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</si>
  <si>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</si>
  <si>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</si>
  <si>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</si>
  <si>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</si>
  <si>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</si>
  <si>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</si>
  <si>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</si>
  <si>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</si>
  <si>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</si>
  <si>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</si>
  <si>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</si>
  <si>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</si>
  <si>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</si>
  <si>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</si>
  <si>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</si>
  <si>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</si>
  <si>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</si>
  <si>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</si>
  <si>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</si>
  <si>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</si>
  <si>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</si>
  <si>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</si>
  <si>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</si>
  <si>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</si>
  <si>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</si>
  <si>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</si>
  <si>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</si>
  <si>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</si>
  <si>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</si>
  <si>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</si>
  <si>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</si>
  <si>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</si>
  <si>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</si>
  <si>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</si>
  <si>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</si>
  <si>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</si>
  <si>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 xml:space="preserve">Samoa </t>
  </si>
  <si>
    <t>Spain</t>
  </si>
  <si>
    <t>Lebanon</t>
  </si>
  <si>
    <t>Iran</t>
  </si>
  <si>
    <t>Zambia</t>
  </si>
  <si>
    <t>Kenya</t>
  </si>
  <si>
    <t>Kuwait</t>
  </si>
  <si>
    <t>Slovenia</t>
  </si>
  <si>
    <t>Romania</t>
  </si>
  <si>
    <t>Nicaragua</t>
  </si>
  <si>
    <t>Malaysia</t>
  </si>
  <si>
    <t>Mozambique</t>
  </si>
  <si>
    <t>Total Revenue</t>
  </si>
  <si>
    <t>Total Cost</t>
  </si>
  <si>
    <t>Net Profit</t>
  </si>
  <si>
    <t>Gross Profit</t>
  </si>
  <si>
    <t>Gre0da</t>
  </si>
  <si>
    <t>Mo0co</t>
  </si>
  <si>
    <t>Order Year</t>
  </si>
  <si>
    <t>AverageNP</t>
  </si>
  <si>
    <t>Burki Faso</t>
  </si>
  <si>
    <t>Socks</t>
  </si>
  <si>
    <t>Grand Total</t>
  </si>
  <si>
    <t>Sum of Total Revenue</t>
  </si>
  <si>
    <t>Sum of Total Cost</t>
  </si>
  <si>
    <t>Sum of Net Profit</t>
  </si>
  <si>
    <t>Sum of Gross Profit</t>
  </si>
  <si>
    <t>Average of NP</t>
  </si>
  <si>
    <t>Sum of Units Sold</t>
  </si>
  <si>
    <t>TOTAL REVENUE</t>
  </si>
  <si>
    <t>TOTAL GROSS PROFIT</t>
  </si>
  <si>
    <t>TOTAL NET PROFIT</t>
  </si>
  <si>
    <t>AVERAGE NP</t>
  </si>
  <si>
    <t>UNIT SOLD</t>
  </si>
  <si>
    <t>TOTAL COST</t>
  </si>
  <si>
    <t>ORDER YEAR</t>
  </si>
  <si>
    <t>Count of Net Profit</t>
  </si>
  <si>
    <t>HIBRID STORES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</si>
</sst>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 #,##0_-;_-* &quot;-&quot;??_-;_-@_-"/>
    <numFmt numFmtId="165" formatCode="_-[$$-409]* #,##0_ ;_-[$$-409]* \-#,##0\ ;_-[$$-409]* &quot;-&quot;??_ ;_-@_ "/>
    <numFmt numFmtId="166" formatCode="_-[$$-409]* #,##0.00_ ;_-[$$-409]* \-#,##0.00\ ;_-[$$-409]* &quot;-&quot;??_ ;_-@_ "/>
    <numFmt numFmtId="167" formatCode="_(* #,##0_);_(* \(#,##0\);_(* &quot;-&quot;??_);_(@_)"/>
  </numFmts>
  <fonts count="12">
    <font>
      <sz val="11"/>
      <color theme="1"/>
      <name val="Calibri"/>
      <charset val="134"/>
      <scheme val="minor"/>
    </font>
    <font>
      <sz val="11"/>
      <color theme="1"/>
      <name val="Calibri"/>
      <family val="2"/>
      <scheme val="minor"/>
    </font>
    <font>
      <b/>
      <sz val="11"/>
      <color theme="1"/>
      <name val="Calibri"/>
      <charset val="134"/>
      <scheme val="minor"/>
    </font>
    <font>
      <sz val="11"/>
      <color theme="1"/>
      <name val="Calibri"/>
      <charset val="134"/>
      <scheme val="minor"/>
    </font>
    <font>
      <sz val="11"/>
      <color theme="1"/>
      <name val="Calibri"/>
      <scheme val="minor"/>
    </font>
    <font>
      <b/>
      <sz val="11"/>
      <color theme="1"/>
      <name val="Calibri"/>
      <scheme val="minor"/>
    </font>
    <font>
      <b/>
      <sz val="11"/>
      <color theme="1"/>
      <name val="Calibri"/>
      <family val="2"/>
      <scheme val="minor"/>
    </font>
    <font>
      <b/>
      <sz val="16"/>
      <color theme="1"/>
      <name val="Times New Roman"/>
      <family val="1"/>
    </font>
    <font>
      <b/>
      <sz val="18"/>
      <color theme="1"/>
      <name val="Times New Roman"/>
      <family val="1"/>
    </font>
    <font>
      <b/>
      <sz val="16"/>
      <color theme="0"/>
      <name val="Times New Roman"/>
      <family val="1"/>
    </font>
    <font>
      <b/>
      <sz val="28"/>
      <color theme="0"/>
      <name val="Times New Roman"/>
      <family val="1"/>
    </font>
    <font>
      <sz val="28"/>
      <color theme="0"/>
      <name val="Times New Roman"/>
      <family val="1"/>
    </font>
  </fonts>
  <fills count="7">
    <fill>
      <patternFill patternType="none"/>
    </fill>
    <fill>
      <patternFill patternType="gray125"/>
    </fill>
    <fill>
      <patternFill patternType="solid">
        <fgColor theme="5" tint="-0.24997711111789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3" fillId="0" borderId="0" applyFont="0" applyFill="0" applyBorder="0" applyAlignment="0" applyProtection="0"/>
  </cellStyleXfs>
  <cellXfs count="56">
    <xf numFmtId="0" fontId="0" fillId="0" borderId="0" xfId="0"/>
    <xf numFmtId="0" fontId="2" fillId="0" borderId="0" xfId="0" applyFont="1"/>
    <xf numFmtId="14" fontId="0" fillId="0" borderId="0" xfId="0" applyNumberFormat="1"/>
    <xf numFmtId="164" fontId="0" fillId="0" borderId="0" xfId="1" applyNumberFormat="1" applyFont="1"/>
    <xf numFmtId="165" fontId="2" fillId="0" borderId="0" xfId="0" applyNumberFormat="1" applyFont="1"/>
    <xf numFmtId="165" fontId="0" fillId="0" borderId="0" xfId="1" applyNumberFormat="1" applyFont="1"/>
    <xf numFmtId="165" fontId="0" fillId="0" borderId="0" xfId="0" applyNumberFormat="1"/>
    <xf numFmtId="165" fontId="5" fillId="0" borderId="0" xfId="0" applyNumberFormat="1" applyFont="1"/>
    <xf numFmtId="165" fontId="4" fillId="0" borderId="0" xfId="1" applyNumberFormat="1" applyFont="1"/>
    <xf numFmtId="164" fontId="1" fillId="0" borderId="0" xfId="0" applyNumberFormat="1" applyFont="1"/>
    <xf numFmtId="165" fontId="1" fillId="0" borderId="0" xfId="0" applyNumberFormat="1" applyFont="1"/>
    <xf numFmtId="0" fontId="0" fillId="0" borderId="0" xfId="0" applyNumberFormat="1"/>
    <xf numFmtId="14" fontId="2" fillId="0" borderId="0" xfId="0" applyNumberFormat="1" applyFont="1"/>
    <xf numFmtId="0" fontId="1" fillId="0" borderId="0" xfId="0" applyFont="1"/>
    <xf numFmtId="165" fontId="1" fillId="0" borderId="0" xfId="1" applyNumberFormat="1" applyFont="1"/>
    <xf numFmtId="0" fontId="6" fillId="0" borderId="0" xfId="0" applyFont="1"/>
    <xf numFmtId="14" fontId="6" fillId="0" borderId="0" xfId="0" applyNumberFormat="1" applyFont="1"/>
    <xf numFmtId="165" fontId="1" fillId="0" borderId="0" xfId="1" applyNumberFormat="1" applyFont="1" applyAlignment="1">
      <alignment horizontal="center"/>
    </xf>
    <xf numFmtId="0" fontId="0" fillId="0" borderId="0" xfId="0" pivotButton="1"/>
    <xf numFmtId="0" fontId="0" fillId="0" borderId="0" xfId="0" applyAlignment="1">
      <alignment horizontal="left"/>
    </xf>
    <xf numFmtId="165" fontId="4" fillId="0" borderId="0" xfId="0" applyNumberFormat="1" applyFont="1"/>
    <xf numFmtId="166" fontId="0" fillId="0" borderId="0" xfId="0" applyNumberFormat="1"/>
    <xf numFmtId="167" fontId="0" fillId="0" borderId="0" xfId="0" applyNumberFormat="1"/>
    <xf numFmtId="0" fontId="0" fillId="4" borderId="2" xfId="0" applyFill="1" applyBorder="1"/>
    <xf numFmtId="0" fontId="0" fillId="4" borderId="3" xfId="0" applyFill="1" applyBorder="1"/>
    <xf numFmtId="0" fontId="0" fillId="4" borderId="0" xfId="0" applyFill="1" applyBorder="1"/>
    <xf numFmtId="0" fontId="0" fillId="4" borderId="5" xfId="0" applyFill="1" applyBorder="1"/>
    <xf numFmtId="0" fontId="9" fillId="4" borderId="0" xfId="0" applyFont="1" applyFill="1" applyBorder="1" applyAlignment="1">
      <alignment horizontal="center" vertical="center"/>
    </xf>
    <xf numFmtId="165" fontId="8" fillId="4" borderId="0" xfId="0" applyNumberFormat="1" applyFont="1" applyFill="1" applyBorder="1" applyAlignment="1">
      <alignment horizontal="center"/>
    </xf>
    <xf numFmtId="0" fontId="0" fillId="0" borderId="0" xfId="0" applyBorder="1"/>
    <xf numFmtId="167" fontId="8" fillId="4" borderId="0" xfId="1" applyNumberFormat="1" applyFont="1" applyFill="1" applyBorder="1" applyAlignment="1">
      <alignment horizontal="center"/>
    </xf>
    <xf numFmtId="0" fontId="0" fillId="4" borderId="4" xfId="0" applyFill="1" applyBorder="1"/>
    <xf numFmtId="0" fontId="7" fillId="4" borderId="0" xfId="0" applyFont="1" applyFill="1" applyBorder="1" applyAlignment="1">
      <alignment horizontal="center" vertical="center"/>
    </xf>
    <xf numFmtId="0" fontId="0" fillId="6" borderId="0" xfId="0" applyFill="1"/>
    <xf numFmtId="0" fontId="0" fillId="6" borderId="4" xfId="0" applyFill="1" applyBorder="1"/>
    <xf numFmtId="0" fontId="0" fillId="6" borderId="0" xfId="0" applyFill="1" applyBorder="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10" fontId="0" fillId="0" borderId="0" xfId="0" applyNumberFormat="1"/>
    <xf numFmtId="9" fontId="0" fillId="0" borderId="0" xfId="0" applyNumberFormat="1"/>
    <xf numFmtId="0" fontId="0" fillId="4" borderId="4" xfId="0" applyFill="1" applyBorder="1" applyAlignment="1">
      <alignment horizontal="center"/>
    </xf>
    <xf numFmtId="0" fontId="0" fillId="4" borderId="0" xfId="0" applyFill="1" applyBorder="1" applyAlignment="1">
      <alignment horizontal="center"/>
    </xf>
    <xf numFmtId="0" fontId="9" fillId="2" borderId="4" xfId="0" applyFont="1" applyFill="1" applyBorder="1" applyAlignment="1">
      <alignment horizontal="center" vertical="center"/>
    </xf>
    <xf numFmtId="0" fontId="9" fillId="2" borderId="0" xfId="0" applyFont="1" applyFill="1" applyBorder="1" applyAlignment="1">
      <alignment horizontal="center" vertical="center"/>
    </xf>
    <xf numFmtId="165" fontId="8" fillId="3" borderId="4" xfId="0" applyNumberFormat="1" applyFont="1" applyFill="1" applyBorder="1" applyAlignment="1">
      <alignment horizontal="center"/>
    </xf>
    <xf numFmtId="165" fontId="8" fillId="3" borderId="0" xfId="0" applyNumberFormat="1" applyFont="1" applyFill="1" applyBorder="1" applyAlignment="1">
      <alignment horizontal="center"/>
    </xf>
    <xf numFmtId="0" fontId="10" fillId="5" borderId="7" xfId="0" applyFont="1" applyFill="1" applyBorder="1" applyAlignment="1">
      <alignment horizontal="center" vertical="center"/>
    </xf>
    <xf numFmtId="0" fontId="11" fillId="5" borderId="7" xfId="0" applyFont="1" applyFill="1" applyBorder="1" applyAlignment="1">
      <alignment horizontal="center" vertical="center"/>
    </xf>
    <xf numFmtId="167" fontId="8" fillId="3" borderId="4" xfId="1" applyNumberFormat="1" applyFont="1" applyFill="1" applyBorder="1" applyAlignment="1">
      <alignment horizontal="center"/>
    </xf>
    <xf numFmtId="167" fontId="8" fillId="3" borderId="0" xfId="1" applyNumberFormat="1" applyFont="1" applyFill="1" applyBorder="1" applyAlignment="1">
      <alignment horizontal="center"/>
    </xf>
    <xf numFmtId="0" fontId="0" fillId="5" borderId="1" xfId="0" applyFill="1" applyBorder="1" applyAlignment="1">
      <alignment horizontal="center"/>
    </xf>
    <xf numFmtId="0" fontId="0" fillId="5" borderId="2" xfId="0" applyFill="1" applyBorder="1" applyAlignment="1">
      <alignment horizontal="center"/>
    </xf>
    <xf numFmtId="0" fontId="0" fillId="5" borderId="4" xfId="0" applyFill="1" applyBorder="1" applyAlignment="1">
      <alignment horizontal="center"/>
    </xf>
    <xf numFmtId="0" fontId="0" fillId="5" borderId="0" xfId="0" applyFill="1" applyBorder="1" applyAlignment="1">
      <alignment horizontal="center"/>
    </xf>
  </cellXfs>
  <cellStyles count="2">
    <cellStyle name="Comma" xfId="1" builtinId="3"/>
    <cellStyle name="Normal" xfId="0" builtinId="0"/>
  </cellStyles>
  <dxfs count="54">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5" formatCode="_-[$$-409]* #,##0_ ;_-[$$-409]* \-#,##0\ ;_-[$$-409]* &quot;-&quot;??_ ;_-@_ "/>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numFmt numFmtId="171" formatCode="dd/mm/yyyy"/>
    </dxf>
    <dxf>
      <numFmt numFmtId="171" formatCode="dd/mm/yyyy"/>
    </dxf>
    <dxf>
      <numFmt numFmtId="171" formatCode="dd/mm/yyyy"/>
    </dxf>
    <dxf>
      <numFmt numFmtId="171" formatCode="dd/mm/yyyy"/>
    </dxf>
    <dxf>
      <numFmt numFmtId="171" formatCode="dd/mm/yyyy"/>
    </dxf>
    <dxf>
      <numFmt numFmtId="171" formatCode="dd/mm/yyyy"/>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165" formatCode="_-[$$-409]* #,##0_ ;_-[$$-409]* \-#,##0\ ;_-[$$-409]* &quot;-&quot;??_ ;_-@_ "/>
    </dxf>
    <dxf>
      <numFmt numFmtId="168" formatCode="_-[$$-409]* #,##0.0_ ;_-[$$-409]* \-#,##0.0\ ;_-[$$-409]* &quot;-&quot;??_ ;_-@_ "/>
    </dxf>
    <dxf>
      <numFmt numFmtId="166" formatCode="_-[$$-409]* #,##0.00_ ;_-[$$-409]* \-#,##0.00\ ;_-[$$-409]* &quot;-&quot;??_ ;_-@_ "/>
    </dxf>
    <dxf>
      <numFmt numFmtId="165" formatCode="_-[$$-409]* #,##0_ ;_-[$$-409]* \-#,##0\ ;_-[$$-409]* &quot;-&quot;??_ ;_-@_ "/>
    </dxf>
    <dxf>
      <numFmt numFmtId="168" formatCode="_-[$$-409]* #,##0.0_ ;_-[$$-409]* \-#,##0.0\ ;_-[$$-409]* &quot;-&quot;??_ ;_-@_ "/>
    </dxf>
    <dxf>
      <numFmt numFmtId="166" formatCode="_-[$$-409]* #,##0.00_ ;_-[$$-409]* \-#,##0.00\ ;_-[$$-409]* &quot;-&quot;??_ ;_-@_ "/>
    </dxf>
    <dxf>
      <numFmt numFmtId="167" formatCode="_(* #,##0_);_(* \(#,##0\);_(* &quot;-&quot;??_);_(@_)"/>
    </dxf>
    <dxf>
      <numFmt numFmtId="170" formatCode="_(* #,##0.0_);_(* \(#,##0.0\);_(* &quot;-&quot;??_);_(@_)"/>
    </dxf>
    <dxf>
      <numFmt numFmtId="35" formatCode="_(* #,##0.00_);_(* \(#,##0.00\);_(* &quot;-&quot;??_);_(@_)"/>
    </dxf>
    <dxf>
      <numFmt numFmtId="2" formatCode="0.00"/>
    </dxf>
    <dxf>
      <numFmt numFmtId="165" formatCode="_-[$$-409]* #,##0_ ;_-[$$-409]* \-#,##0\ ;_-[$$-409]* &quot;-&quot;??_ ;_-@_ "/>
    </dxf>
    <dxf>
      <numFmt numFmtId="168" formatCode="_-[$$-409]* #,##0.0_ ;_-[$$-409]* \-#,##0.0\ ;_-[$$-409]* &quot;-&quot;??_ ;_-@_ "/>
    </dxf>
    <dxf>
      <numFmt numFmtId="166" formatCode="_-[$$-409]* #,##0.00_ ;_-[$$-409]* \-#,##0.00\ ;_-[$$-409]* &quot;-&quot;??_ ;_-@_ "/>
    </dxf>
    <dxf>
      <numFmt numFmtId="165" formatCode="_-[$$-409]* #,##0_ ;_-[$$-409]* \-#,##0\ ;_-[$$-409]* &quot;-&quot;??_ ;_-@_ "/>
    </dxf>
    <dxf>
      <numFmt numFmtId="168" formatCode="_-[$$-409]* #,##0.0_ ;_-[$$-409]* \-#,##0.0\ ;_-[$$-409]* &quot;-&quot;??_ ;_-@_ "/>
    </dxf>
    <dxf>
      <numFmt numFmtId="166" formatCode="_-[$$-409]* #,##0.00_ ;_-[$$-409]* \-#,##0.00\ ;_-[$$-409]* &quot;-&quot;??_ ;_-@_ "/>
    </dxf>
    <dxf>
      <numFmt numFmtId="166" formatCode="_-[$$-409]* #,##0.00_ ;_-[$$-409]* \-#,##0.00\ ;_-[$$-409]* &quot;-&quot;??_ ;_-@_ "/>
    </dxf>
    <dxf>
      <numFmt numFmtId="13" formatCode="0%"/>
    </dxf>
    <dxf>
      <numFmt numFmtId="169" formatCode="0.0%"/>
    </dxf>
    <dxf>
      <numFmt numFmtId="13" formatCode="0%"/>
    </dxf>
    <dxf>
      <numFmt numFmtId="169" formatCode="0.0%"/>
    </dxf>
    <dxf>
      <numFmt numFmtId="165" formatCode="_-[$$-409]* #,##0_ ;_-[$$-409]* \-#,##0\ ;_-[$$-409]* &quot;-&quot;??_ ;_-@_ "/>
    </dxf>
    <dxf>
      <numFmt numFmtId="168" formatCode="_-[$$-409]* #,##0.0_ ;_-[$$-409]* \-#,##0.0\ ;_-[$$-409]* &quot;-&quot;??_ ;_-@_ "/>
    </dxf>
    <dxf>
      <numFmt numFmtId="166" formatCode="_-[$$-409]* #,##0.00_ ;_-[$$-409]* \-#,##0.00\ ;_-[$$-409]* &quot;-&quot;??_ ;_-@_ "/>
    </dxf>
    <dxf>
      <numFmt numFmtId="165" formatCode="_-[$$-409]* #,##0_ ;_-[$$-409]* \-#,##0\ ;_-[$$-409]* &quot;-&quot;??_ ;_-@_ "/>
    </dxf>
    <dxf>
      <numFmt numFmtId="168" formatCode="_-[$$-409]* #,##0.0_ ;_-[$$-409]* \-#,##0.0\ ;_-[$$-409]* &quot;-&quot;??_ ;_-@_ "/>
    </dxf>
    <dxf>
      <numFmt numFmtId="166" formatCode="_-[$$-409]* #,##0.00_ ;_-[$$-409]* \-#,##0.00\ ;_-[$$-409]* &quot;-&quot;??_ ;_-@_ "/>
    </dxf>
    <dxf>
      <numFmt numFmtId="165" formatCode="_-[$$-409]* #,##0_ ;_-[$$-409]* \-#,##0\ ;_-[$$-409]* &quot;-&quot;??_ ;_-@_ "/>
    </dxf>
    <dxf>
      <numFmt numFmtId="168" formatCode="_-[$$-409]* #,##0.0_ ;_-[$$-409]* \-#,##0.0\ ;_-[$$-409]* &quot;-&quot;??_ ;_-@_ "/>
    </dxf>
    <dxf>
      <numFmt numFmtId="166" formatCode="_-[$$-409]* #,##0.00_ ;_-[$$-409]* \-#,##0.00\ ;_-[$$-409]* &quot;-&quot;??_ ;_-@_ "/>
    </dxf>
  </dxfs>
  <tableStyles count="0" defaultTableStyle="TableStyleMedium2" defaultPivotStyle="PivotStyleLight16"/>
  <colors>
    <mruColors>
      <color rgb="FF0000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STORES-Dataset &amp; Dashboard.xlsx]PIVOT TABLE!PivotTable61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PRIORITY</a:t>
            </a:r>
          </a:p>
        </c:rich>
      </c:tx>
      <c:layout>
        <c:manualLayout>
          <c:xMode val="edge"/>
          <c:yMode val="edge"/>
          <c:x val="0.18156437019254962"/>
          <c:y val="4.166713535808024E-2"/>
        </c:manualLayout>
      </c:layout>
      <c:overlay val="0"/>
      <c:spPr>
        <a:noFill/>
        <a:ln>
          <a:noFill/>
        </a:ln>
        <a:effectLst/>
      </c:spPr>
    </c:title>
    <c:autoTitleDeleted val="0"/>
    <c:pivotFmts>
      <c:pivotFmt>
        <c:idx val="0"/>
      </c:pivotFmt>
      <c:pivotFmt>
        <c:idx val="1"/>
        <c:dLbl>
          <c:idx val="0"/>
          <c:dLblPos val="ct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ct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8"/>
      </c:pivotFmt>
      <c:pivotFmt>
        <c:idx val="9"/>
      </c:pivotFmt>
      <c:pivotFmt>
        <c:idx val="10"/>
      </c:pivotFmt>
      <c:pivotFmt>
        <c:idx val="11"/>
      </c:pivotFmt>
      <c:pivotFmt>
        <c:idx val="12"/>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1-EABB-48E0-A858-02A5A2B3B0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3-EABB-48E0-A858-02A5A2B3B0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5-EABB-48E0-A858-02A5A2B3B08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6r2="http://schemas.microsoft.com/office/drawing/2015/06/chart">
              <c:ext xmlns:c16="http://schemas.microsoft.com/office/drawing/2014/chart" uri="{C3380CC4-5D6E-409C-BE32-E72D297353CC}">
                <c16:uniqueId val="{00000007-EABB-48E0-A858-02A5A2B3B0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dLbls>
          <c:cat>
            <c:strRef>
              <c:f>'PIVOT TABLE'!$D$17:$D$21</c:f>
              <c:strCache>
                <c:ptCount val="4"/>
                <c:pt idx="0">
                  <c:v>C</c:v>
                </c:pt>
                <c:pt idx="1">
                  <c:v>H</c:v>
                </c:pt>
                <c:pt idx="2">
                  <c:v>L</c:v>
                </c:pt>
                <c:pt idx="3">
                  <c:v>M</c:v>
                </c:pt>
              </c:strCache>
            </c:strRef>
          </c:cat>
          <c:val>
            <c:numRef>
              <c:f>'PIVOT TABLE'!$E$17:$E$21</c:f>
              <c:numCache>
                <c:formatCode>_-[$$-409]* #,##0_ ;_-[$$-409]* \-#,##0\ ;_-[$$-409]* "-"??_ ;_-@_ </c:formatCode>
                <c:ptCount val="4"/>
                <c:pt idx="0">
                  <c:v>18821578</c:v>
                </c:pt>
                <c:pt idx="1">
                  <c:v>48722994</c:v>
                </c:pt>
                <c:pt idx="2">
                  <c:v>35452217</c:v>
                </c:pt>
                <c:pt idx="3">
                  <c:v>33108457</c:v>
                </c:pt>
              </c:numCache>
            </c:numRef>
          </c:val>
          <c:extLst xmlns:c16r2="http://schemas.microsoft.com/office/drawing/2015/06/chart">
            <c:ext xmlns:c16="http://schemas.microsoft.com/office/drawing/2014/chart" uri="{C3380CC4-5D6E-409C-BE32-E72D297353CC}">
              <c16:uniqueId val="{00000008-EABB-48E0-A858-02A5A2B3B08C}"/>
            </c:ext>
          </c:extLst>
        </c:ser>
        <c:dLbls>
          <c:dLblPos val="ctr"/>
          <c:showLegendKey val="0"/>
          <c:showVal val="0"/>
          <c:showCatName val="0"/>
          <c:showSerName val="0"/>
          <c:showPercent val="1"/>
          <c:showBubbleSize val="0"/>
          <c:showLeaderLines val="1"/>
        </c:dLbls>
      </c:pie3D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STORES-Dataset &amp; Dashboard.xlsx]PIVOT TABLE!PivotTable62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a:t>
            </a:r>
            <a:r>
              <a:rPr lang="en-US" baseline="0"/>
              <a:t> YEAR</a:t>
            </a:r>
            <a:endParaRPr lang="en-US"/>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delete val="1"/>
          <c:extLst xmlns:c16r2="http://schemas.microsoft.com/office/drawing/2015/06/char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'PIVOT TABLE'!$E$23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TABLE'!$D$24:$D$32</c:f>
              <c:strCache>
                <c:ptCount val="8"/>
                <c:pt idx="0">
                  <c:v>2010</c:v>
                </c:pt>
                <c:pt idx="1">
                  <c:v>2011</c:v>
                </c:pt>
                <c:pt idx="2">
                  <c:v>2012</c:v>
                </c:pt>
                <c:pt idx="3">
                  <c:v>2013</c:v>
                </c:pt>
                <c:pt idx="4">
                  <c:v>2014</c:v>
                </c:pt>
                <c:pt idx="5">
                  <c:v>2015</c:v>
                </c:pt>
                <c:pt idx="6">
                  <c:v>2016</c:v>
                </c:pt>
                <c:pt idx="7">
                  <c:v>2017</c:v>
                </c:pt>
              </c:strCache>
            </c:strRef>
          </c:cat>
          <c:val>
            <c:numRef>
              <c:f>'PIVOT TABLE'!$E$24:$E$32</c:f>
              <c:numCache>
                <c:formatCode>_-[$$-409]* #,##0_ ;_-[$$-409]* \-#,##0\ ;_-[$$-409]* "-"??_ ;_-@_ </c:formatCode>
                <c:ptCount val="8"/>
                <c:pt idx="0">
                  <c:v>6286726.6500000004</c:v>
                </c:pt>
                <c:pt idx="1">
                  <c:v>4584006.5</c:v>
                </c:pt>
                <c:pt idx="2">
                  <c:v>8735027.6999999993</c:v>
                </c:pt>
                <c:pt idx="3">
                  <c:v>6376077</c:v>
                </c:pt>
                <c:pt idx="4">
                  <c:v>5346096.5</c:v>
                </c:pt>
                <c:pt idx="5">
                  <c:v>3781323.95</c:v>
                </c:pt>
                <c:pt idx="6">
                  <c:v>4657676.1499999994</c:v>
                </c:pt>
                <c:pt idx="7">
                  <c:v>3883347.2999999993</c:v>
                </c:pt>
              </c:numCache>
            </c:numRef>
          </c:val>
          <c:smooth val="0"/>
          <c:extLst xmlns:c16r2="http://schemas.microsoft.com/office/drawing/2015/06/chart">
            <c:ext xmlns:c16="http://schemas.microsoft.com/office/drawing/2014/chart" uri="{C3380CC4-5D6E-409C-BE32-E72D297353CC}">
              <c16:uniqueId val="{00000000-291A-47B9-B296-6A4696A874FB}"/>
            </c:ext>
          </c:extLst>
        </c:ser>
        <c:dLbls>
          <c:showLegendKey val="0"/>
          <c:showVal val="0"/>
          <c:showCatName val="0"/>
          <c:showSerName val="0"/>
          <c:showPercent val="0"/>
          <c:showBubbleSize val="0"/>
        </c:dLbls>
        <c:marker val="1"/>
        <c:smooth val="0"/>
        <c:axId val="196818048"/>
        <c:axId val="196819968"/>
      </c:lineChart>
      <c:catAx>
        <c:axId val="196818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19968"/>
        <c:crosses val="autoZero"/>
        <c:auto val="1"/>
        <c:lblAlgn val="ctr"/>
        <c:lblOffset val="100"/>
        <c:noMultiLvlLbl val="0"/>
      </c:catAx>
      <c:valAx>
        <c:axId val="196819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1804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STORES-Dataset &amp; Dashboard.xlsx]PIVOT TABLE!PivotTable64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CHANNEL</a:t>
            </a:r>
          </a:p>
        </c:rich>
      </c:tx>
      <c:layout>
        <c:manualLayout>
          <c:xMode val="edge"/>
          <c:yMode val="edge"/>
          <c:x val="0.275376312335958"/>
          <c:y val="5.4982581722739204E-2"/>
        </c:manualLayout>
      </c:layout>
      <c:overlay val="0"/>
      <c:spPr>
        <a:noFill/>
        <a:ln>
          <a:noFill/>
        </a:ln>
        <a:effectLst/>
      </c:spPr>
    </c:title>
    <c:autoTitleDeleted val="0"/>
    <c:pivotFmts>
      <c:pivotFmt>
        <c:idx val="0"/>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solidFill>
            <a:srgbClr val="FFFF00"/>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solidFill>
            <a:srgbClr val="FFFF00"/>
          </a:solidFill>
          <a:ln>
            <a:noFill/>
          </a:ln>
          <a:effectLst>
            <a:outerShdw blurRad="57150" dist="19050" dir="5400000" algn="ctr" rotWithShape="0">
              <a:srgbClr val="000000">
                <a:alpha val="63000"/>
              </a:srgbClr>
            </a:outerShdw>
          </a:effectLst>
        </c:spPr>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solidFill>
            <a:srgbClr val="FFC000"/>
          </a:solidFill>
          <a:ln>
            <a:noFill/>
          </a:ln>
          <a:effectLst>
            <a:outerShdw blurRad="57150" dist="19050" dir="5400000" algn="ctr" rotWithShape="0">
              <a:srgbClr val="000000">
                <a:alpha val="63000"/>
              </a:srgbClr>
            </a:outerShdw>
          </a:effectLst>
        </c:spPr>
      </c:pivotFmt>
      <c:pivotFmt>
        <c:idx val="8"/>
        <c:spPr>
          <a:solidFill>
            <a:schemeClr val="accent2">
              <a:lumMod val="75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4082-4E38-AE26-880D0B610C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4082-4E38-AE26-880D0B610CF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dLbls>
          <c:cat>
            <c:strRef>
              <c:f>'PIVOT TABLE'!$D$35:$D$37</c:f>
              <c:strCache>
                <c:ptCount val="2"/>
                <c:pt idx="0">
                  <c:v>Offline</c:v>
                </c:pt>
                <c:pt idx="1">
                  <c:v>Online</c:v>
                </c:pt>
              </c:strCache>
            </c:strRef>
          </c:cat>
          <c:val>
            <c:numRef>
              <c:f>'PIVOT TABLE'!$E$35:$E$37</c:f>
              <c:numCache>
                <c:formatCode>0%</c:formatCode>
                <c:ptCount val="2"/>
                <c:pt idx="0">
                  <c:v>0.49494949494949497</c:v>
                </c:pt>
                <c:pt idx="1">
                  <c:v>0.50505050505050508</c:v>
                </c:pt>
              </c:numCache>
            </c:numRef>
          </c:val>
          <c:extLst xmlns:c16r2="http://schemas.microsoft.com/office/drawing/2015/06/chart">
            <c:ext xmlns:c16="http://schemas.microsoft.com/office/drawing/2014/chart" uri="{C3380CC4-5D6E-409C-BE32-E72D297353CC}">
              <c16:uniqueId val="{00000004-4082-4E38-AE26-880D0B610C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STORES-Dataset &amp; Dashboard.xlsx]PIVOT TABLE!PivotTable65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ITEM</a:t>
            </a:r>
            <a:r>
              <a:rPr lang="en-US" baseline="0"/>
              <a:t> TYPE</a:t>
            </a:r>
            <a:endParaRPr lang="en-US"/>
          </a:p>
        </c:rich>
      </c:tx>
      <c:layout/>
      <c:overlay val="0"/>
      <c:spPr>
        <a:noFill/>
        <a:ln>
          <a:noFill/>
        </a:ln>
        <a:effectLst/>
      </c:sp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TABLE'!$G$4:$G$16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Socks</c:v>
                </c:pt>
                <c:pt idx="11">
                  <c:v>Vegetables</c:v>
                </c:pt>
              </c:strCache>
            </c:strRef>
          </c:cat>
          <c:val>
            <c:numRef>
              <c:f>'PIVOT TABLE'!$H$4:$H$16</c:f>
              <c:numCache>
                <c:formatCode>_-[$$-409]* #,##0_ ;_-[$$-409]* \-#,##0\ ;_-[$$-409]* "-"??_ ;_-@_ </c:formatCode>
                <c:ptCount val="12"/>
                <c:pt idx="0">
                  <c:v>3697704</c:v>
                </c:pt>
                <c:pt idx="1">
                  <c:v>808089</c:v>
                </c:pt>
                <c:pt idx="2">
                  <c:v>2187900.35</c:v>
                </c:pt>
                <c:pt idx="3">
                  <c:v>4941881</c:v>
                </c:pt>
                <c:pt idx="4">
                  <c:v>13838585.399999997</c:v>
                </c:pt>
                <c:pt idx="5">
                  <c:v>94996.2</c:v>
                </c:pt>
                <c:pt idx="6">
                  <c:v>9011715.1999999993</c:v>
                </c:pt>
                <c:pt idx="7">
                  <c:v>578051.25</c:v>
                </c:pt>
                <c:pt idx="8">
                  <c:v>5409003.5999999996</c:v>
                </c:pt>
                <c:pt idx="9">
                  <c:v>1156815</c:v>
                </c:pt>
                <c:pt idx="10">
                  <c:v>725488.39999999991</c:v>
                </c:pt>
                <c:pt idx="11">
                  <c:v>1200052.3499999999</c:v>
                </c:pt>
              </c:numCache>
            </c:numRef>
          </c:val>
          <c:extLst xmlns:c16r2="http://schemas.microsoft.com/office/drawing/2015/06/chart">
            <c:ext xmlns:c16="http://schemas.microsoft.com/office/drawing/2014/chart" uri="{C3380CC4-5D6E-409C-BE32-E72D297353CC}">
              <c16:uniqueId val="{00000000-F76A-40B0-BA78-BE265992C62D}"/>
            </c:ext>
          </c:extLst>
        </c:ser>
        <c:dLbls>
          <c:showLegendKey val="0"/>
          <c:showVal val="0"/>
          <c:showCatName val="0"/>
          <c:showSerName val="0"/>
          <c:showPercent val="0"/>
          <c:showBubbleSize val="0"/>
        </c:dLbls>
        <c:gapWidth val="115"/>
        <c:overlap val="-20"/>
        <c:axId val="196685824"/>
        <c:axId val="196687360"/>
      </c:barChart>
      <c:catAx>
        <c:axId val="1966858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87360"/>
        <c:crosses val="autoZero"/>
        <c:auto val="1"/>
        <c:lblAlgn val="ctr"/>
        <c:lblOffset val="100"/>
        <c:noMultiLvlLbl val="0"/>
      </c:catAx>
      <c:valAx>
        <c:axId val="19668736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858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180976</xdr:colOff>
      <xdr:row>17</xdr:row>
      <xdr:rowOff>0</xdr:rowOff>
    </xdr:from>
    <xdr:to>
      <xdr:col>13</xdr:col>
      <xdr:colOff>257175</xdr:colOff>
      <xdr:row>28</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161925</xdr:colOff>
      <xdr:row>6</xdr:row>
      <xdr:rowOff>28575</xdr:rowOff>
    </xdr:from>
    <xdr:to>
      <xdr:col>14</xdr:col>
      <xdr:colOff>895350</xdr:colOff>
      <xdr:row>16</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6</xdr:row>
      <xdr:rowOff>9525</xdr:rowOff>
    </xdr:from>
    <xdr:to>
      <xdr:col>19</xdr:col>
      <xdr:colOff>0</xdr:colOff>
      <xdr:row>16</xdr:row>
      <xdr:rowOff>19050</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67825" y="1571625"/>
              <a:ext cx="1828800" cy="2371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352425</xdr:colOff>
      <xdr:row>17</xdr:row>
      <xdr:rowOff>9525</xdr:rowOff>
    </xdr:from>
    <xdr:to>
      <xdr:col>19</xdr:col>
      <xdr:colOff>9525</xdr:colOff>
      <xdr:row>28</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6</xdr:row>
      <xdr:rowOff>57150</xdr:rowOff>
    </xdr:from>
    <xdr:to>
      <xdr:col>8</xdr:col>
      <xdr:colOff>85725</xdr:colOff>
      <xdr:row>28</xdr:row>
      <xdr:rowOff>19049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180975</xdr:colOff>
      <xdr:row>2</xdr:row>
      <xdr:rowOff>85724</xdr:rowOff>
    </xdr:from>
    <xdr:to>
      <xdr:col>2</xdr:col>
      <xdr:colOff>561975</xdr:colOff>
      <xdr:row>5</xdr:row>
      <xdr:rowOff>180975</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0575" y="752474"/>
          <a:ext cx="990600" cy="7048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biso Bien" refreshedDate="45872.470137384262" createdVersion="6" refreshedVersion="6" minRefreshableVersion="3" recordCount="99">
  <cacheSource type="worksheet">
    <worksheetSource name="Table2"/>
  </cacheSource>
  <cacheFields count="17">
    <cacheField name="Region" numFmtId="0">
      <sharedItems count="7">
        <s v="Australia and Oceania"/>
        <s v="Central America and the Caribbean"/>
        <s v="Sub-Saharan Africa"/>
        <s v="Asia"/>
        <s v="Europe"/>
        <s v="Middle East and North Africa"/>
        <s v="North America"/>
      </sharedItems>
    </cacheField>
    <cacheField name="Country" numFmtId="0">
      <sharedItems/>
    </cacheField>
    <cacheField name="Item Type" numFmtId="0">
      <sharedItems count="12">
        <s v="Baby Food"/>
        <s v="Cereal"/>
        <s v="Fruits"/>
        <s v="Office Supplies"/>
        <s v="Household"/>
        <s v="Vegetables"/>
        <s v="Personal Care"/>
        <s v="Clothes"/>
        <s v="Cosmetics"/>
        <s v="Beverages"/>
        <s v="Meat"/>
        <s v="Socks"/>
      </sharedItems>
    </cacheField>
    <cacheField name="Sales Channel" numFmtId="0">
      <sharedItems count="2">
        <s v="Offline"/>
        <s v="Online"/>
      </sharedItems>
    </cacheField>
    <cacheField name="Order Priority" numFmtId="0">
      <sharedItems count="4">
        <s v="H"/>
        <s v="C"/>
        <s v="L"/>
        <s v="M"/>
      </sharedItems>
    </cacheField>
    <cacheField name="Order Date" numFmtId="14">
      <sharedItems containsSemiMixedTypes="0" containsNonDate="0" containsDate="1" containsString="0" minDate="2010-02-02T00:00:00" maxDate="2017-05-23T00:00:00"/>
    </cacheField>
    <cacheField name="Order Year" numFmtId="0">
      <sharedItems containsSemiMixedTypes="0" containsString="0" containsNumber="1" containsInteger="1" minValue="2010" maxValue="2017" count="8">
        <n v="2010"/>
        <n v="2012"/>
        <n v="2014"/>
        <n v="2013"/>
        <n v="2015"/>
        <n v="2011"/>
        <n v="2017"/>
        <n v="2016"/>
      </sharedItems>
    </cacheField>
    <cacheField name="Order ID" numFmtId="0">
      <sharedItems containsSemiMixedTypes="0" containsString="0" containsNumber="1" containsInteger="1" minValue="114606559" maxValue="994022214"/>
    </cacheField>
    <cacheField name="Ship Date" numFmtId="14">
      <sharedItems containsSemiMixedTypes="0" containsNonDate="0" containsDate="1" containsString="0" minDate="2010-01-08T00:00:00" maxDate="2017-06-18T00:00:00"/>
    </cacheField>
    <cacheField name="Units Sold" numFmtId="164">
      <sharedItems containsSemiMixedTypes="0" containsString="0" containsNumber="1" containsInteger="1" minValue="124" maxValue="9925"/>
    </cacheField>
    <cacheField name="Unit Price" numFmtId="165">
      <sharedItems containsSemiMixedTypes="0" containsString="0" containsNumber="1" containsInteger="1" minValue="9" maxValue="668"/>
    </cacheField>
    <cacheField name="Unit Cost" numFmtId="165">
      <sharedItems containsSemiMixedTypes="0" containsString="0" containsNumber="1" containsInteger="1" minValue="0" maxValue="525"/>
    </cacheField>
    <cacheField name="Total Revenue" numFmtId="165">
      <sharedItems containsSemiMixedTypes="0" containsString="0" containsNumber="1" containsInteger="1" minValue="4698" maxValue="5994632"/>
    </cacheField>
    <cacheField name="Total Cost" numFmtId="165">
      <sharedItems containsSemiMixedTypes="0" containsString="0" containsNumber="1" containsInteger="1" minValue="0" maxValue="4513922"/>
    </cacheField>
    <cacheField name="Gross Profit" numFmtId="165">
      <sharedItems containsSemiMixedTypes="0" containsString="0" containsNumber="1" containsInteger="1" minValue="1044" maxValue="2796916"/>
    </cacheField>
    <cacheField name="Net Profit" numFmtId="165">
      <sharedItems containsSemiMixedTypes="0" containsString="0" containsNumber="1" minValue="991.8" maxValue="2657070.1999999997"/>
    </cacheField>
    <cacheField name="AverageNP" numFmtId="165">
      <sharedItems containsString="0" containsBlank="1" containsNumber="1" minValue="440911.93686868693" maxValue="440911.93686868693" count="2">
        <n v="440911.93686868693"/>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
  <r>
    <x v="0"/>
    <s v="Tuvalu"/>
    <x v="0"/>
    <x v="0"/>
    <x v="0"/>
    <d v="2010-05-28T00:00:00"/>
    <x v="0"/>
    <n v="669165933"/>
    <d v="2010-06-27T00:00:00"/>
    <n v="9925"/>
    <n v="255"/>
    <n v="159"/>
    <n v="2530875"/>
    <n v="1578075"/>
    <n v="952800"/>
    <n v="905160"/>
    <x v="0"/>
  </r>
  <r>
    <x v="1"/>
    <s v="Gre0da"/>
    <x v="1"/>
    <x v="1"/>
    <x v="1"/>
    <d v="2012-08-22T00:00:00"/>
    <x v="1"/>
    <n v="963881480"/>
    <d v="2012-09-15T00:00:00"/>
    <n v="2804"/>
    <n v="206"/>
    <n v="117"/>
    <n v="577624"/>
    <n v="328068"/>
    <n v="249556"/>
    <n v="237078.19999999998"/>
    <x v="1"/>
  </r>
  <r>
    <x v="2"/>
    <s v="Sao Tome and Principe"/>
    <x v="2"/>
    <x v="1"/>
    <x v="1"/>
    <d v="2014-06-20T00:00:00"/>
    <x v="2"/>
    <n v="514321792"/>
    <d v="2014-05-07T00:00:00"/>
    <n v="8102"/>
    <n v="9"/>
    <n v="7"/>
    <n v="72918"/>
    <n v="56714"/>
    <n v="16204"/>
    <n v="15393.8"/>
    <x v="1"/>
  </r>
  <r>
    <x v="2"/>
    <s v="Rwanda"/>
    <x v="3"/>
    <x v="0"/>
    <x v="2"/>
    <d v="2013-02-01T00:00:00"/>
    <x v="3"/>
    <n v="115456712"/>
    <d v="2013-06-02T00:00:00"/>
    <n v="5062"/>
    <n v="651"/>
    <n v="525"/>
    <n v="3295362"/>
    <n v="2657550"/>
    <n v="637812"/>
    <n v="605921.4"/>
    <x v="1"/>
  </r>
  <r>
    <x v="0"/>
    <s v="Solomon Islands"/>
    <x v="0"/>
    <x v="1"/>
    <x v="1"/>
    <d v="2015-02-04T00:00:00"/>
    <x v="4"/>
    <n v="547995746"/>
    <d v="2015-02-21T00:00:00"/>
    <n v="2974"/>
    <n v="255"/>
    <n v="159"/>
    <n v="758370"/>
    <n v="472866"/>
    <n v="285504"/>
    <n v="271228.79999999999"/>
    <x v="1"/>
  </r>
  <r>
    <x v="2"/>
    <s v="Angola"/>
    <x v="4"/>
    <x v="0"/>
    <x v="3"/>
    <d v="2011-04-23T00:00:00"/>
    <x v="5"/>
    <n v="135425221"/>
    <d v="2011-04-27T00:00:00"/>
    <n v="4187"/>
    <n v="668"/>
    <n v="0"/>
    <n v="2796916"/>
    <n v="0"/>
    <n v="2796916"/>
    <n v="2657070.1999999997"/>
    <x v="1"/>
  </r>
  <r>
    <x v="2"/>
    <s v="Burki Faso"/>
    <x v="5"/>
    <x v="1"/>
    <x v="0"/>
    <d v="2012-07-17T00:00:00"/>
    <x v="1"/>
    <n v="871543967"/>
    <d v="2012-07-27T00:00:00"/>
    <n v="8082"/>
    <n v="154"/>
    <n v="91"/>
    <n v="1244628"/>
    <n v="735462"/>
    <n v="509166"/>
    <n v="483707.69999999995"/>
    <x v="1"/>
  </r>
  <r>
    <x v="2"/>
    <s v="Republic of the Congo"/>
    <x v="6"/>
    <x v="0"/>
    <x v="3"/>
    <d v="2015-07-14T00:00:00"/>
    <x v="4"/>
    <n v="770463311"/>
    <d v="2015-08-25T00:00:00"/>
    <n v="6070"/>
    <n v="82"/>
    <n v="57"/>
    <n v="497740"/>
    <n v="345990"/>
    <n v="151750"/>
    <n v="144162.5"/>
    <x v="1"/>
  </r>
  <r>
    <x v="2"/>
    <s v="Senegal"/>
    <x v="1"/>
    <x v="1"/>
    <x v="0"/>
    <d v="2014-04-18T00:00:00"/>
    <x v="2"/>
    <n v="616607081"/>
    <d v="2014-05-30T00:00:00"/>
    <n v="6593"/>
    <n v="206"/>
    <n v="117"/>
    <n v="1358158"/>
    <n v="771381"/>
    <n v="586777"/>
    <n v="557438.15"/>
    <x v="1"/>
  </r>
  <r>
    <x v="3"/>
    <s v="Kyrgyzstan"/>
    <x v="5"/>
    <x v="1"/>
    <x v="0"/>
    <d v="2011-06-24T00:00:00"/>
    <x v="5"/>
    <n v="814711606"/>
    <d v="2011-12-07T00:00:00"/>
    <n v="124"/>
    <n v="154"/>
    <n v="91"/>
    <n v="19096"/>
    <n v="11284"/>
    <n v="7812"/>
    <n v="7421.4"/>
    <x v="1"/>
  </r>
  <r>
    <x v="2"/>
    <s v="Cape Verde"/>
    <x v="7"/>
    <x v="0"/>
    <x v="0"/>
    <d v="2014-08-02T00:00:00"/>
    <x v="2"/>
    <n v="939825713"/>
    <d v="2014-08-19T00:00:00"/>
    <n v="4168"/>
    <n v="109"/>
    <n v="36"/>
    <n v="454312"/>
    <n v="150048"/>
    <n v="304264"/>
    <n v="289050.8"/>
    <x v="1"/>
  </r>
  <r>
    <x v="3"/>
    <s v="Bangladesh"/>
    <x v="7"/>
    <x v="1"/>
    <x v="2"/>
    <d v="2017-01-13T00:00:00"/>
    <x v="6"/>
    <n v="187310731"/>
    <d v="2017-01-03T00:00:00"/>
    <n v="8263"/>
    <n v="109"/>
    <n v="36"/>
    <n v="900667"/>
    <n v="297468"/>
    <n v="603199"/>
    <n v="573039.04999999993"/>
    <x v="1"/>
  </r>
  <r>
    <x v="1"/>
    <s v="Honduras"/>
    <x v="4"/>
    <x v="0"/>
    <x v="0"/>
    <d v="2017-02-08T00:00:00"/>
    <x v="6"/>
    <n v="522840487"/>
    <d v="2017-02-13T00:00:00"/>
    <n v="8974"/>
    <n v="668"/>
    <n v="503"/>
    <n v="5994632"/>
    <n v="4513922"/>
    <n v="1480710"/>
    <n v="1406674.5"/>
    <x v="1"/>
  </r>
  <r>
    <x v="3"/>
    <s v="Mongolia"/>
    <x v="6"/>
    <x v="0"/>
    <x v="1"/>
    <d v="2014-02-19T00:00:00"/>
    <x v="2"/>
    <n v="832401311"/>
    <d v="2014-02-23T00:00:00"/>
    <n v="4901"/>
    <n v="82"/>
    <n v="57"/>
    <n v="401882"/>
    <n v="279357"/>
    <n v="122525"/>
    <n v="116398.75"/>
    <x v="1"/>
  </r>
  <r>
    <x v="4"/>
    <s v="Bulgaria"/>
    <x v="7"/>
    <x v="1"/>
    <x v="3"/>
    <d v="2012-04-23T00:00:00"/>
    <x v="1"/>
    <n v="972292029"/>
    <d v="2012-03-06T00:00:00"/>
    <n v="1673"/>
    <n v="109"/>
    <n v="36"/>
    <n v="182357"/>
    <n v="60228"/>
    <n v="122129"/>
    <n v="116022.54999999999"/>
    <x v="1"/>
  </r>
  <r>
    <x v="3"/>
    <s v="Sri Lanka"/>
    <x v="8"/>
    <x v="0"/>
    <x v="3"/>
    <d v="2016-11-19T00:00:00"/>
    <x v="7"/>
    <n v="419123971"/>
    <d v="2016-12-18T00:00:00"/>
    <n v="6952"/>
    <n v="437"/>
    <n v="263"/>
    <n v="3038024"/>
    <n v="1828376"/>
    <n v="1209648"/>
    <n v="1149165.5999999999"/>
    <x v="1"/>
  </r>
  <r>
    <x v="2"/>
    <s v="Cameroon"/>
    <x v="9"/>
    <x v="0"/>
    <x v="1"/>
    <d v="2015-04-01T00:00:00"/>
    <x v="4"/>
    <n v="519820964"/>
    <d v="2015-04-18T00:00:00"/>
    <n v="5430"/>
    <n v="47"/>
    <n v="32"/>
    <n v="255210"/>
    <n v="173760"/>
    <n v="81450"/>
    <n v="77377.5"/>
    <x v="1"/>
  </r>
  <r>
    <x v="3"/>
    <s v="Turkmenistan"/>
    <x v="4"/>
    <x v="0"/>
    <x v="2"/>
    <d v="2010-12-30T00:00:00"/>
    <x v="0"/>
    <n v="441619336"/>
    <d v="2011-01-20T00:00:00"/>
    <n v="3830"/>
    <n v="668"/>
    <n v="503"/>
    <n v="2558440"/>
    <n v="1926490"/>
    <n v="631950"/>
    <n v="600352.5"/>
    <x v="1"/>
  </r>
  <r>
    <x v="0"/>
    <s v="East Timor"/>
    <x v="10"/>
    <x v="1"/>
    <x v="2"/>
    <d v="2012-07-31T00:00:00"/>
    <x v="1"/>
    <n v="322067916"/>
    <d v="2012-11-09T00:00:00"/>
    <n v="5908"/>
    <n v="422"/>
    <n v="365"/>
    <n v="2493176"/>
    <n v="2156420"/>
    <n v="336756"/>
    <n v="319918.2"/>
    <x v="1"/>
  </r>
  <r>
    <x v="4"/>
    <s v="Norway"/>
    <x v="0"/>
    <x v="1"/>
    <x v="2"/>
    <d v="2014-05-14T00:00:00"/>
    <x v="2"/>
    <n v="819028031"/>
    <d v="2014-06-28T00:00:00"/>
    <n v="7450"/>
    <n v="255"/>
    <n v="159"/>
    <n v="1899750"/>
    <n v="1184550"/>
    <n v="715200"/>
    <n v="679440"/>
    <x v="1"/>
  </r>
  <r>
    <x v="4"/>
    <s v="Portugal"/>
    <x v="0"/>
    <x v="1"/>
    <x v="0"/>
    <d v="2015-07-31T00:00:00"/>
    <x v="4"/>
    <n v="860673511"/>
    <d v="2015-03-09T00:00:00"/>
    <n v="1273"/>
    <n v="255"/>
    <n v="159"/>
    <n v="324615"/>
    <n v="202407"/>
    <n v="122208"/>
    <n v="116097.59999999999"/>
    <x v="1"/>
  </r>
  <r>
    <x v="1"/>
    <s v="Honduras"/>
    <x v="11"/>
    <x v="1"/>
    <x v="2"/>
    <d v="2016-06-30T00:00:00"/>
    <x v="7"/>
    <n v="795490682"/>
    <d v="2016-07-26T00:00:00"/>
    <n v="2225"/>
    <n v="153"/>
    <n v="97"/>
    <n v="340425"/>
    <n v="215825"/>
    <n v="124600"/>
    <n v="118370"/>
    <x v="1"/>
  </r>
  <r>
    <x v="0"/>
    <s v="New Zealand"/>
    <x v="2"/>
    <x v="1"/>
    <x v="0"/>
    <d v="2014-09-08T00:00:00"/>
    <x v="2"/>
    <n v="142278373"/>
    <d v="2014-04-10T00:00:00"/>
    <n v="2187"/>
    <n v="9"/>
    <n v="7"/>
    <n v="19683"/>
    <n v="15309"/>
    <n v="4374"/>
    <n v="4155.3"/>
    <x v="1"/>
  </r>
  <r>
    <x v="4"/>
    <s v="Moldova "/>
    <x v="6"/>
    <x v="1"/>
    <x v="2"/>
    <d v="2016-05-07T00:00:00"/>
    <x v="7"/>
    <n v="740147912"/>
    <d v="2016-10-05T00:00:00"/>
    <n v="5070"/>
    <n v="82"/>
    <n v="57"/>
    <n v="415740"/>
    <n v="288990"/>
    <n v="126750"/>
    <n v="120412.5"/>
    <x v="1"/>
  </r>
  <r>
    <x v="4"/>
    <s v="France"/>
    <x v="8"/>
    <x v="1"/>
    <x v="0"/>
    <d v="2017-05-22T00:00:00"/>
    <x v="6"/>
    <n v="898523128"/>
    <d v="2017-05-06T00:00:00"/>
    <n v="1815"/>
    <n v="437"/>
    <n v="263"/>
    <n v="793155"/>
    <n v="477345"/>
    <n v="315810"/>
    <n v="300019.5"/>
    <x v="1"/>
  </r>
  <r>
    <x v="0"/>
    <s v="Kiribati"/>
    <x v="2"/>
    <x v="1"/>
    <x v="3"/>
    <d v="2014-10-13T00:00:00"/>
    <x v="2"/>
    <n v="347140347"/>
    <d v="2014-10-11T00:00:00"/>
    <n v="5398"/>
    <n v="9"/>
    <n v="7"/>
    <n v="48582"/>
    <n v="37786"/>
    <n v="10796"/>
    <n v="10256.199999999999"/>
    <x v="1"/>
  </r>
  <r>
    <x v="2"/>
    <s v="Mali"/>
    <x v="2"/>
    <x v="1"/>
    <x v="2"/>
    <d v="2010-05-07T00:00:00"/>
    <x v="0"/>
    <n v="686048400"/>
    <d v="2010-10-05T00:00:00"/>
    <n v="5822"/>
    <n v="9"/>
    <n v="7"/>
    <n v="52398"/>
    <n v="40754"/>
    <n v="11644"/>
    <n v="11061.8"/>
    <x v="1"/>
  </r>
  <r>
    <x v="4"/>
    <s v="Norway"/>
    <x v="9"/>
    <x v="0"/>
    <x v="1"/>
    <d v="2014-07-18T00:00:00"/>
    <x v="2"/>
    <n v="435608613"/>
    <d v="2014-07-30T00:00:00"/>
    <n v="5124"/>
    <n v="47"/>
    <n v="32"/>
    <n v="240828"/>
    <n v="163968"/>
    <n v="76860"/>
    <n v="73017"/>
    <x v="1"/>
  </r>
  <r>
    <x v="2"/>
    <s v="The Gambia"/>
    <x v="4"/>
    <x v="0"/>
    <x v="2"/>
    <d v="2012-05-26T00:00:00"/>
    <x v="1"/>
    <n v="886494815"/>
    <d v="2012-09-06T00:00:00"/>
    <n v="2370"/>
    <n v="668"/>
    <n v="503"/>
    <n v="1583160"/>
    <n v="1192110"/>
    <n v="391050"/>
    <n v="371497.5"/>
    <x v="1"/>
  </r>
  <r>
    <x v="4"/>
    <s v="Switzerland"/>
    <x v="8"/>
    <x v="0"/>
    <x v="3"/>
    <d v="2012-09-17T00:00:00"/>
    <x v="1"/>
    <n v="249693334"/>
    <d v="2012-10-20T00:00:00"/>
    <n v="8661"/>
    <n v="437"/>
    <n v="263"/>
    <n v="3784857"/>
    <n v="2277843"/>
    <n v="1507014"/>
    <n v="1431663.3"/>
    <x v="1"/>
  </r>
  <r>
    <x v="2"/>
    <s v="South Sudan"/>
    <x v="6"/>
    <x v="0"/>
    <x v="1"/>
    <d v="2013-12-29T00:00:00"/>
    <x v="3"/>
    <n v="406502997"/>
    <d v="2014-01-28T00:00:00"/>
    <n v="2125"/>
    <n v="82"/>
    <n v="57"/>
    <n v="174250"/>
    <n v="121125"/>
    <n v="53125"/>
    <n v="50468.75"/>
    <x v="1"/>
  </r>
  <r>
    <x v="0"/>
    <s v="Australia"/>
    <x v="3"/>
    <x v="1"/>
    <x v="1"/>
    <d v="2015-10-27T00:00:00"/>
    <x v="4"/>
    <n v="158535134"/>
    <d v="2015-11-25T00:00:00"/>
    <n v="2924"/>
    <n v="651"/>
    <n v="525"/>
    <n v="1903524"/>
    <n v="1535100"/>
    <n v="368424"/>
    <n v="350002.8"/>
    <x v="1"/>
  </r>
  <r>
    <x v="3"/>
    <s v="Myanmar"/>
    <x v="4"/>
    <x v="0"/>
    <x v="0"/>
    <d v="2015-01-16T00:00:00"/>
    <x v="4"/>
    <n v="177713572"/>
    <d v="2015-01-03T00:00:00"/>
    <n v="8250"/>
    <n v="668"/>
    <n v="503"/>
    <n v="5511000"/>
    <n v="4149750"/>
    <n v="1361250"/>
    <n v="1293187.5"/>
    <x v="1"/>
  </r>
  <r>
    <x v="2"/>
    <s v="Djibouti"/>
    <x v="11"/>
    <x v="1"/>
    <x v="3"/>
    <d v="2017-02-25T00:00:00"/>
    <x v="6"/>
    <n v="756274640"/>
    <d v="2017-02-25T00:00:00"/>
    <n v="7327"/>
    <n v="153"/>
    <n v="97"/>
    <n v="1121031"/>
    <n v="710719"/>
    <n v="410312"/>
    <n v="389796.39999999997"/>
    <x v="1"/>
  </r>
  <r>
    <x v="1"/>
    <s v="Costa Rica"/>
    <x v="6"/>
    <x v="0"/>
    <x v="2"/>
    <d v="2017-05-08T00:00:00"/>
    <x v="6"/>
    <n v="456767165"/>
    <d v="2017-05-21T00:00:00"/>
    <n v="6409"/>
    <n v="82"/>
    <n v="57"/>
    <n v="525538"/>
    <n v="365313"/>
    <n v="160225"/>
    <n v="152213.75"/>
    <x v="1"/>
  </r>
  <r>
    <x v="5"/>
    <s v="Syria"/>
    <x v="2"/>
    <x v="1"/>
    <x v="2"/>
    <d v="2011-11-22T00:00:00"/>
    <x v="5"/>
    <n v="162052476"/>
    <d v="2011-03-12T00:00:00"/>
    <n v="3784"/>
    <n v="9"/>
    <n v="7"/>
    <n v="34056"/>
    <n v="26488"/>
    <n v="7568"/>
    <n v="7189.5999999999995"/>
    <x v="1"/>
  </r>
  <r>
    <x v="2"/>
    <s v="The Gambia"/>
    <x v="10"/>
    <x v="1"/>
    <x v="3"/>
    <d v="2017-01-14T00:00:00"/>
    <x v="6"/>
    <n v="825304400"/>
    <d v="2017-01-23T00:00:00"/>
    <n v="4767"/>
    <n v="422"/>
    <n v="365"/>
    <n v="2011674"/>
    <n v="1739955"/>
    <n v="271719"/>
    <n v="258133.05"/>
    <x v="1"/>
  </r>
  <r>
    <x v="3"/>
    <s v="Brunei"/>
    <x v="3"/>
    <x v="1"/>
    <x v="2"/>
    <d v="2012-04-01T00:00:00"/>
    <x v="1"/>
    <n v="320009267"/>
    <d v="2012-08-05T00:00:00"/>
    <n v="6708"/>
    <n v="651"/>
    <n v="525"/>
    <n v="4366908"/>
    <n v="3521700"/>
    <n v="845208"/>
    <n v="802947.6"/>
    <x v="1"/>
  </r>
  <r>
    <x v="4"/>
    <s v="Bulgaria"/>
    <x v="3"/>
    <x v="1"/>
    <x v="3"/>
    <d v="2012-02-16T00:00:00"/>
    <x v="1"/>
    <n v="189965903"/>
    <d v="2012-02-28T00:00:00"/>
    <n v="3987"/>
    <n v="651"/>
    <n v="525"/>
    <n v="2595537"/>
    <n v="2093175"/>
    <n v="502362"/>
    <n v="477243.89999999997"/>
    <x v="1"/>
  </r>
  <r>
    <x v="2"/>
    <s v="Niger"/>
    <x v="6"/>
    <x v="1"/>
    <x v="0"/>
    <d v="2017-03-11T00:00:00"/>
    <x v="6"/>
    <n v="699285638"/>
    <d v="2017-03-28T00:00:00"/>
    <n v="3015"/>
    <n v="82"/>
    <n v="57"/>
    <n v="247230"/>
    <n v="171855"/>
    <n v="75375"/>
    <n v="71606.25"/>
    <x v="1"/>
  </r>
  <r>
    <x v="5"/>
    <s v="Azerbaijan"/>
    <x v="8"/>
    <x v="1"/>
    <x v="3"/>
    <d v="2010-02-06T00:00:00"/>
    <x v="0"/>
    <n v="382392299"/>
    <d v="2010-02-25T00:00:00"/>
    <n v="7234"/>
    <n v="437"/>
    <n v="263"/>
    <n v="3161258"/>
    <n v="1902542"/>
    <n v="1258716"/>
    <n v="1195780.2"/>
    <x v="1"/>
  </r>
  <r>
    <x v="2"/>
    <s v="The Gambia"/>
    <x v="1"/>
    <x v="0"/>
    <x v="0"/>
    <d v="2012-06-07T00:00:00"/>
    <x v="1"/>
    <n v="994022214"/>
    <d v="2012-08-06T00:00:00"/>
    <n v="2117"/>
    <n v="206"/>
    <n v="117"/>
    <n v="436102"/>
    <n v="247689"/>
    <n v="188413"/>
    <n v="178992.35"/>
    <x v="1"/>
  </r>
  <r>
    <x v="4"/>
    <s v="Slovakia"/>
    <x v="5"/>
    <x v="1"/>
    <x v="0"/>
    <d v="2012-10-06T00:00:00"/>
    <x v="1"/>
    <n v="759224212"/>
    <d v="2012-10-11T00:00:00"/>
    <n v="171"/>
    <n v="154"/>
    <n v="91"/>
    <n v="26334"/>
    <n v="15561"/>
    <n v="10773"/>
    <n v="10234.35"/>
    <x v="1"/>
  </r>
  <r>
    <x v="3"/>
    <s v="Myanmar"/>
    <x v="7"/>
    <x v="1"/>
    <x v="0"/>
    <d v="2015-11-14T00:00:00"/>
    <x v="4"/>
    <n v="223359620"/>
    <d v="2015-11-18T00:00:00"/>
    <n v="5930"/>
    <n v="109"/>
    <n v="36"/>
    <n v="646370"/>
    <n v="213480"/>
    <n v="432890"/>
    <n v="411245.5"/>
    <x v="1"/>
  </r>
  <r>
    <x v="2"/>
    <s v="Comoros"/>
    <x v="1"/>
    <x v="0"/>
    <x v="0"/>
    <d v="2016-03-29T00:00:00"/>
    <x v="7"/>
    <n v="902102267"/>
    <d v="2016-04-29T00:00:00"/>
    <n v="962"/>
    <n v="206"/>
    <n v="117"/>
    <n v="198172"/>
    <n v="112554"/>
    <n v="85618"/>
    <n v="81337.099999999991"/>
    <x v="1"/>
  </r>
  <r>
    <x v="4"/>
    <s v="Iceland"/>
    <x v="8"/>
    <x v="1"/>
    <x v="1"/>
    <d v="2016-12-31T00:00:00"/>
    <x v="7"/>
    <n v="331438481"/>
    <d v="2016-12-31T00:00:00"/>
    <n v="8867"/>
    <n v="437"/>
    <n v="263"/>
    <n v="3874879"/>
    <n v="2332021"/>
    <n v="1542858"/>
    <n v="1465715.0999999999"/>
    <x v="1"/>
  </r>
  <r>
    <x v="4"/>
    <s v="Switzerland"/>
    <x v="6"/>
    <x v="1"/>
    <x v="3"/>
    <d v="2010-12-23T00:00:00"/>
    <x v="0"/>
    <n v="617667090"/>
    <d v="2011-01-31T00:00:00"/>
    <n v="273"/>
    <n v="82"/>
    <n v="57"/>
    <n v="22386"/>
    <n v="15561"/>
    <n v="6825"/>
    <n v="6483.75"/>
    <x v="1"/>
  </r>
  <r>
    <x v="4"/>
    <s v="Macedonia"/>
    <x v="7"/>
    <x v="0"/>
    <x v="1"/>
    <d v="2014-10-14T00:00:00"/>
    <x v="2"/>
    <n v="787399423"/>
    <d v="2014-11-14T00:00:00"/>
    <n v="7842"/>
    <n v="109"/>
    <n v="36"/>
    <n v="854778"/>
    <n v="282312"/>
    <n v="572466"/>
    <n v="543842.69999999995"/>
    <x v="1"/>
  </r>
  <r>
    <x v="2"/>
    <s v="Mauritania"/>
    <x v="3"/>
    <x v="0"/>
    <x v="1"/>
    <d v="2012-01-11T00:00:00"/>
    <x v="1"/>
    <n v="837559306"/>
    <d v="2012-01-13T00:00:00"/>
    <n v="1266"/>
    <n v="651"/>
    <n v="525"/>
    <n v="824166"/>
    <n v="664650"/>
    <n v="159516"/>
    <n v="151540.19999999998"/>
    <x v="1"/>
  </r>
  <r>
    <x v="4"/>
    <s v="Albania"/>
    <x v="7"/>
    <x v="1"/>
    <x v="1"/>
    <d v="2010-02-02T00:00:00"/>
    <x v="0"/>
    <n v="385383069"/>
    <d v="2010-03-18T00:00:00"/>
    <n v="2269"/>
    <n v="109"/>
    <n v="36"/>
    <n v="247321"/>
    <n v="81684"/>
    <n v="165637"/>
    <n v="157355.15"/>
    <x v="1"/>
  </r>
  <r>
    <x v="2"/>
    <s v="Lesotho"/>
    <x v="2"/>
    <x v="1"/>
    <x v="2"/>
    <d v="2013-08-18T00:00:00"/>
    <x v="3"/>
    <n v="918419539"/>
    <d v="2013-09-18T00:00:00"/>
    <n v="9606"/>
    <n v="9"/>
    <n v="7"/>
    <n v="86454"/>
    <n v="67242"/>
    <n v="19212"/>
    <n v="18251.399999999998"/>
    <x v="1"/>
  </r>
  <r>
    <x v="5"/>
    <s v="Saudi Arabia"/>
    <x v="1"/>
    <x v="1"/>
    <x v="3"/>
    <d v="2013-03-25T00:00:00"/>
    <x v="3"/>
    <n v="844530045"/>
    <d v="2013-03-28T00:00:00"/>
    <n v="4063"/>
    <n v="206"/>
    <n v="117"/>
    <n v="836978"/>
    <n v="475371"/>
    <n v="361607"/>
    <n v="343526.64999999997"/>
    <x v="1"/>
  </r>
  <r>
    <x v="2"/>
    <s v="Sierra Leone"/>
    <x v="3"/>
    <x v="0"/>
    <x v="3"/>
    <d v="2011-11-26T00:00:00"/>
    <x v="5"/>
    <n v="441888415"/>
    <d v="2012-07-01T00:00:00"/>
    <n v="3457"/>
    <n v="651"/>
    <n v="525"/>
    <n v="2250507"/>
    <n v="1814925"/>
    <n v="435582"/>
    <n v="413802.89999999997"/>
    <x v="1"/>
  </r>
  <r>
    <x v="2"/>
    <s v="Sao Tome and Principe"/>
    <x v="2"/>
    <x v="0"/>
    <x v="0"/>
    <d v="2013-09-17T00:00:00"/>
    <x v="3"/>
    <n v="508980977"/>
    <d v="2013-10-24T00:00:00"/>
    <n v="7637"/>
    <n v="9"/>
    <n v="7"/>
    <n v="68733"/>
    <n v="53459"/>
    <n v="15274"/>
    <n v="14510.3"/>
    <x v="1"/>
  </r>
  <r>
    <x v="2"/>
    <s v="Cote d'Ivoire"/>
    <x v="7"/>
    <x v="1"/>
    <x v="1"/>
    <d v="2012-06-08T00:00:00"/>
    <x v="1"/>
    <n v="114606559"/>
    <d v="2012-06-27T00:00:00"/>
    <n v="3482"/>
    <n v="109"/>
    <n v="36"/>
    <n v="379538"/>
    <n v="125352"/>
    <n v="254186"/>
    <n v="241476.69999999998"/>
    <x v="1"/>
  </r>
  <r>
    <x v="0"/>
    <s v="Fiji"/>
    <x v="7"/>
    <x v="0"/>
    <x v="1"/>
    <d v="2010-06-30T00:00:00"/>
    <x v="0"/>
    <n v="647876489"/>
    <d v="2010-01-08T00:00:00"/>
    <n v="9905"/>
    <n v="109"/>
    <n v="36"/>
    <n v="1079645"/>
    <n v="356580"/>
    <n v="723065"/>
    <n v="686911.75"/>
    <x v="1"/>
  </r>
  <r>
    <x v="4"/>
    <s v="Austria"/>
    <x v="8"/>
    <x v="0"/>
    <x v="0"/>
    <d v="2015-02-23T00:00:00"/>
    <x v="4"/>
    <n v="868214595"/>
    <d v="2015-02-03T00:00:00"/>
    <n v="2847"/>
    <n v="437"/>
    <n v="263"/>
    <n v="1244139"/>
    <n v="748761"/>
    <n v="495378"/>
    <n v="470609.1"/>
    <x v="1"/>
  </r>
  <r>
    <x v="4"/>
    <s v="United Kingdom"/>
    <x v="4"/>
    <x v="1"/>
    <x v="2"/>
    <d v="2012-01-05T00:00:00"/>
    <x v="1"/>
    <n v="955357205"/>
    <d v="2012-02-14T00:00:00"/>
    <n v="282"/>
    <n v="668"/>
    <n v="503"/>
    <n v="188376"/>
    <n v="141846"/>
    <n v="46530"/>
    <n v="44203.5"/>
    <x v="1"/>
  </r>
  <r>
    <x v="2"/>
    <s v="Djibouti"/>
    <x v="8"/>
    <x v="0"/>
    <x v="0"/>
    <d v="2014-04-07T00:00:00"/>
    <x v="2"/>
    <n v="259353148"/>
    <d v="2014-04-19T00:00:00"/>
    <n v="7215"/>
    <n v="437"/>
    <n v="263"/>
    <n v="3152955"/>
    <n v="1897545"/>
    <n v="1255410"/>
    <n v="1192639.5"/>
    <x v="1"/>
  </r>
  <r>
    <x v="0"/>
    <s v="Australia"/>
    <x v="1"/>
    <x v="0"/>
    <x v="0"/>
    <d v="2013-06-09T00:00:00"/>
    <x v="3"/>
    <n v="450563752"/>
    <d v="2013-02-07T00:00:00"/>
    <n v="682"/>
    <n v="206"/>
    <n v="117"/>
    <n v="140492"/>
    <n v="79794"/>
    <n v="60698"/>
    <n v="57663.1"/>
    <x v="1"/>
  </r>
  <r>
    <x v="4"/>
    <s v="San Marino"/>
    <x v="0"/>
    <x v="1"/>
    <x v="2"/>
    <d v="2013-06-26T00:00:00"/>
    <x v="3"/>
    <n v="569662845"/>
    <d v="2013-01-07T00:00:00"/>
    <n v="4750"/>
    <n v="255"/>
    <n v="159"/>
    <n v="1211250"/>
    <n v="755250"/>
    <n v="456000"/>
    <n v="433200"/>
    <x v="1"/>
  </r>
  <r>
    <x v="2"/>
    <s v="Cameroon"/>
    <x v="3"/>
    <x v="1"/>
    <x v="3"/>
    <d v="2011-11-07T00:00:00"/>
    <x v="5"/>
    <n v="177636754"/>
    <d v="2011-11-15T00:00:00"/>
    <n v="5518"/>
    <n v="651"/>
    <n v="525"/>
    <n v="3592218"/>
    <n v="2896950"/>
    <n v="695268"/>
    <n v="660504.6"/>
    <x v="1"/>
  </r>
  <r>
    <x v="5"/>
    <s v="Libya"/>
    <x v="7"/>
    <x v="0"/>
    <x v="0"/>
    <d v="2010-10-30T00:00:00"/>
    <x v="0"/>
    <n v="705784308"/>
    <d v="2010-11-17T00:00:00"/>
    <n v="6116"/>
    <n v="109"/>
    <n v="36"/>
    <n v="666644"/>
    <n v="220176"/>
    <n v="446468"/>
    <n v="424144.6"/>
    <x v="1"/>
  </r>
  <r>
    <x v="1"/>
    <s v="Haiti"/>
    <x v="8"/>
    <x v="0"/>
    <x v="0"/>
    <d v="2013-10-13T00:00:00"/>
    <x v="3"/>
    <n v="505716836"/>
    <d v="2013-11-16T00:00:00"/>
    <n v="1705"/>
    <n v="437"/>
    <n v="263"/>
    <n v="745085"/>
    <n v="448415"/>
    <n v="296670"/>
    <n v="281836.5"/>
    <x v="1"/>
  </r>
  <r>
    <x v="2"/>
    <s v="Rwanda"/>
    <x v="8"/>
    <x v="0"/>
    <x v="0"/>
    <d v="2013-10-11T00:00:00"/>
    <x v="3"/>
    <n v="699358165"/>
    <d v="2013-11-25T00:00:00"/>
    <n v="4477"/>
    <n v="437"/>
    <n v="263"/>
    <n v="1956449"/>
    <n v="1177451"/>
    <n v="778998"/>
    <n v="740048.1"/>
    <x v="1"/>
  </r>
  <r>
    <x v="2"/>
    <s v="Gabon"/>
    <x v="6"/>
    <x v="0"/>
    <x v="2"/>
    <d v="2012-07-08T00:00:00"/>
    <x v="1"/>
    <n v="228944623"/>
    <d v="2012-09-07T00:00:00"/>
    <n v="8656"/>
    <n v="82"/>
    <n v="57"/>
    <n v="709792"/>
    <n v="493392"/>
    <n v="216400"/>
    <n v="205580"/>
    <x v="1"/>
  </r>
  <r>
    <x v="1"/>
    <s v="Belize"/>
    <x v="7"/>
    <x v="0"/>
    <x v="3"/>
    <d v="2016-07-25T00:00:00"/>
    <x v="7"/>
    <n v="807025039"/>
    <d v="2016-07-09T00:00:00"/>
    <n v="5498"/>
    <n v="109"/>
    <n v="36"/>
    <n v="599282"/>
    <n v="197928"/>
    <n v="401354"/>
    <n v="381286.3"/>
    <x v="1"/>
  </r>
  <r>
    <x v="4"/>
    <s v="Lithuania"/>
    <x v="3"/>
    <x v="0"/>
    <x v="0"/>
    <d v="2010-10-24T00:00:00"/>
    <x v="0"/>
    <n v="166460740"/>
    <d v="2010-11-17T00:00:00"/>
    <n v="8287"/>
    <n v="651"/>
    <n v="525"/>
    <n v="5394837"/>
    <n v="4350675"/>
    <n v="1044162"/>
    <n v="991953.89999999991"/>
    <x v="1"/>
  </r>
  <r>
    <x v="2"/>
    <s v="Madagascar"/>
    <x v="7"/>
    <x v="0"/>
    <x v="2"/>
    <d v="2015-04-25T00:00:00"/>
    <x v="4"/>
    <n v="610425555"/>
    <d v="2015-05-28T00:00:00"/>
    <n v="7342"/>
    <n v="109"/>
    <n v="36"/>
    <n v="800278"/>
    <n v="264312"/>
    <n v="535966"/>
    <n v="509167.69999999995"/>
    <x v="1"/>
  </r>
  <r>
    <x v="3"/>
    <s v="Turkmenistan"/>
    <x v="3"/>
    <x v="1"/>
    <x v="3"/>
    <d v="2013-04-23T00:00:00"/>
    <x v="3"/>
    <n v="462405812"/>
    <d v="2013-05-20T00:00:00"/>
    <n v="5010"/>
    <n v="651"/>
    <n v="525"/>
    <n v="3261510"/>
    <n v="2630250"/>
    <n v="631260"/>
    <n v="599697"/>
    <x v="1"/>
  </r>
  <r>
    <x v="5"/>
    <s v="Libya"/>
    <x v="2"/>
    <x v="1"/>
    <x v="2"/>
    <d v="2015-08-14T00:00:00"/>
    <x v="4"/>
    <n v="816200339"/>
    <d v="2015-09-30T00:00:00"/>
    <n v="673"/>
    <n v="9"/>
    <n v="7"/>
    <n v="6057"/>
    <n v="4711"/>
    <n v="1346"/>
    <n v="1278.7"/>
    <x v="1"/>
  </r>
  <r>
    <x v="2"/>
    <s v="Democratic Republic of the Congo"/>
    <x v="9"/>
    <x v="1"/>
    <x v="1"/>
    <d v="2011-05-26T00:00:00"/>
    <x v="5"/>
    <n v="585920464"/>
    <d v="2011-07-15T00:00:00"/>
    <n v="5741"/>
    <n v="47"/>
    <n v="32"/>
    <n v="269827"/>
    <n v="183712"/>
    <n v="86115"/>
    <n v="81809.25"/>
    <x v="1"/>
  </r>
  <r>
    <x v="2"/>
    <s v="Djibouti"/>
    <x v="1"/>
    <x v="1"/>
    <x v="0"/>
    <d v="2017-05-20T00:00:00"/>
    <x v="6"/>
    <n v="555990016"/>
    <d v="2017-06-17T00:00:00"/>
    <n v="8656"/>
    <n v="206"/>
    <n v="117"/>
    <n v="1783136"/>
    <n v="1012752"/>
    <n v="770384"/>
    <n v="731864.79999999993"/>
    <x v="1"/>
  </r>
  <r>
    <x v="5"/>
    <s v="Pakistan"/>
    <x v="8"/>
    <x v="0"/>
    <x v="2"/>
    <d v="2013-07-05T00:00:00"/>
    <x v="3"/>
    <n v="231145322"/>
    <d v="2013-08-16T00:00:00"/>
    <n v="9892"/>
    <n v="437"/>
    <n v="263"/>
    <n v="4322804"/>
    <n v="2601596"/>
    <n v="1721208"/>
    <n v="1635147.5999999999"/>
    <x v="1"/>
  </r>
  <r>
    <x v="6"/>
    <s v="Mexico"/>
    <x v="4"/>
    <x v="0"/>
    <x v="1"/>
    <d v="2014-11-06T00:00:00"/>
    <x v="2"/>
    <n v="986435210"/>
    <d v="2014-12-12T00:00:00"/>
    <n v="6954"/>
    <n v="668"/>
    <n v="503"/>
    <n v="4645272"/>
    <n v="3497862"/>
    <n v="1147410"/>
    <n v="1090039.5"/>
    <x v="1"/>
  </r>
  <r>
    <x v="0"/>
    <s v="Federated States of Micronesia"/>
    <x v="9"/>
    <x v="1"/>
    <x v="1"/>
    <d v="2014-10-28T00:00:00"/>
    <x v="2"/>
    <n v="217221009"/>
    <d v="2014-11-15T00:00:00"/>
    <n v="9379"/>
    <n v="47"/>
    <n v="32"/>
    <n v="440813"/>
    <n v="300128"/>
    <n v="140685"/>
    <n v="133650.75"/>
    <x v="1"/>
  </r>
  <r>
    <x v="3"/>
    <s v="Laos"/>
    <x v="5"/>
    <x v="0"/>
    <x v="1"/>
    <d v="2011-09-15T00:00:00"/>
    <x v="5"/>
    <n v="789176547"/>
    <d v="2011-10-23T00:00:00"/>
    <n v="3732"/>
    <n v="154"/>
    <n v="91"/>
    <n v="574728"/>
    <n v="339612"/>
    <n v="235116"/>
    <n v="223360.19999999998"/>
    <x v="1"/>
  </r>
  <r>
    <x v="4"/>
    <s v="Mo0co"/>
    <x v="0"/>
    <x v="0"/>
    <x v="0"/>
    <d v="2012-05-29T00:00:00"/>
    <x v="1"/>
    <n v="688288152"/>
    <d v="2012-02-06T00:00:00"/>
    <n v="8614"/>
    <n v="255"/>
    <n v="159"/>
    <n v="2196570"/>
    <n v="1369626"/>
    <n v="826944"/>
    <n v="785596.79999999993"/>
    <x v="1"/>
  </r>
  <r>
    <x v="0"/>
    <s v="Samoa "/>
    <x v="8"/>
    <x v="1"/>
    <x v="0"/>
    <d v="2013-07-20T00:00:00"/>
    <x v="3"/>
    <n v="670854651"/>
    <d v="2013-07-08T00:00:00"/>
    <n v="9654"/>
    <n v="437"/>
    <n v="263"/>
    <n v="4218798"/>
    <n v="2539002"/>
    <n v="1679796"/>
    <n v="1595806.2"/>
    <x v="1"/>
  </r>
  <r>
    <x v="4"/>
    <s v="Spain"/>
    <x v="4"/>
    <x v="0"/>
    <x v="2"/>
    <d v="2012-10-21T00:00:00"/>
    <x v="1"/>
    <n v="213487374"/>
    <d v="2012-11-30T00:00:00"/>
    <n v="4513"/>
    <n v="668"/>
    <n v="503"/>
    <n v="3014684"/>
    <n v="2270039"/>
    <n v="744645"/>
    <n v="707412.75"/>
    <x v="1"/>
  </r>
  <r>
    <x v="5"/>
    <s v="Lebanon"/>
    <x v="7"/>
    <x v="1"/>
    <x v="2"/>
    <d v="2012-09-18T00:00:00"/>
    <x v="1"/>
    <n v="663110148"/>
    <d v="2012-08-10T00:00:00"/>
    <n v="7884"/>
    <n v="109"/>
    <n v="36"/>
    <n v="859356"/>
    <n v="283824"/>
    <n v="575532"/>
    <n v="546755.4"/>
    <x v="1"/>
  </r>
  <r>
    <x v="5"/>
    <s v="Iran"/>
    <x v="8"/>
    <x v="1"/>
    <x v="0"/>
    <d v="2016-11-15T00:00:00"/>
    <x v="7"/>
    <n v="286959302"/>
    <d v="2016-08-12T00:00:00"/>
    <n v="6489"/>
    <n v="437"/>
    <n v="263"/>
    <n v="2835693"/>
    <n v="1706607"/>
    <n v="1129086"/>
    <n v="1072631.7"/>
    <x v="1"/>
  </r>
  <r>
    <x v="2"/>
    <s v="Zambia"/>
    <x v="11"/>
    <x v="1"/>
    <x v="2"/>
    <d v="2011-01-04T00:00:00"/>
    <x v="5"/>
    <n v="122583663"/>
    <d v="2011-05-01T00:00:00"/>
    <n v="4085"/>
    <n v="153"/>
    <n v="97"/>
    <n v="625005"/>
    <n v="396245"/>
    <n v="228760"/>
    <n v="217322"/>
    <x v="1"/>
  </r>
  <r>
    <x v="2"/>
    <s v="Kenya"/>
    <x v="5"/>
    <x v="1"/>
    <x v="2"/>
    <d v="2012-03-18T00:00:00"/>
    <x v="1"/>
    <n v="827844560"/>
    <d v="2012-07-04T00:00:00"/>
    <n v="6457"/>
    <n v="154"/>
    <n v="91"/>
    <n v="994378"/>
    <n v="587587"/>
    <n v="406791"/>
    <n v="386451.44999999995"/>
    <x v="1"/>
  </r>
  <r>
    <x v="6"/>
    <s v="Mexico"/>
    <x v="6"/>
    <x v="0"/>
    <x v="2"/>
    <d v="2012-02-17T00:00:00"/>
    <x v="1"/>
    <n v="430915820"/>
    <d v="2012-03-20T00:00:00"/>
    <n v="6422"/>
    <n v="82"/>
    <n v="57"/>
    <n v="526604"/>
    <n v="366054"/>
    <n v="160550"/>
    <n v="152522.5"/>
    <x v="1"/>
  </r>
  <r>
    <x v="2"/>
    <s v="Sao Tome and Principe"/>
    <x v="9"/>
    <x v="0"/>
    <x v="1"/>
    <d v="2011-01-16T00:00:00"/>
    <x v="5"/>
    <n v="180283772"/>
    <d v="2011-01-21T00:00:00"/>
    <n v="8829"/>
    <n v="47"/>
    <n v="32"/>
    <n v="414963"/>
    <n v="282528"/>
    <n v="132435"/>
    <n v="125813.25"/>
    <x v="1"/>
  </r>
  <r>
    <x v="2"/>
    <s v="The Gambia"/>
    <x v="0"/>
    <x v="0"/>
    <x v="3"/>
    <d v="2014-02-03T00:00:00"/>
    <x v="2"/>
    <n v="494747245"/>
    <d v="2014-03-20T00:00:00"/>
    <n v="5559"/>
    <n v="255"/>
    <n v="159"/>
    <n v="1417545"/>
    <n v="883881"/>
    <n v="533664"/>
    <n v="506980.8"/>
    <x v="1"/>
  </r>
  <r>
    <x v="5"/>
    <s v="Kuwait"/>
    <x v="2"/>
    <x v="1"/>
    <x v="3"/>
    <d v="2012-04-30T00:00:00"/>
    <x v="1"/>
    <n v="513417565"/>
    <d v="2012-05-18T00:00:00"/>
    <n v="522"/>
    <n v="9"/>
    <n v="7"/>
    <n v="4698"/>
    <n v="3654"/>
    <n v="1044"/>
    <n v="991.8"/>
    <x v="1"/>
  </r>
  <r>
    <x v="4"/>
    <s v="Slovenia"/>
    <x v="9"/>
    <x v="0"/>
    <x v="1"/>
    <d v="2016-10-23T00:00:00"/>
    <x v="7"/>
    <n v="345718562"/>
    <d v="2016-11-25T00:00:00"/>
    <n v="4660"/>
    <n v="47"/>
    <n v="32"/>
    <n v="219020"/>
    <n v="149120"/>
    <n v="69900"/>
    <n v="66405"/>
    <x v="1"/>
  </r>
  <r>
    <x v="2"/>
    <s v="Sierra Leone"/>
    <x v="3"/>
    <x v="0"/>
    <x v="0"/>
    <d v="2016-12-06T00:00:00"/>
    <x v="7"/>
    <n v="621386563"/>
    <d v="2016-12-14T00:00:00"/>
    <n v="948"/>
    <n v="651"/>
    <n v="525"/>
    <n v="617148"/>
    <n v="497700"/>
    <n v="119448"/>
    <n v="113475.59999999999"/>
    <x v="1"/>
  </r>
  <r>
    <x v="0"/>
    <s v="Australia"/>
    <x v="9"/>
    <x v="0"/>
    <x v="0"/>
    <d v="2014-07-07T00:00:00"/>
    <x v="2"/>
    <n v="240470397"/>
    <d v="2014-11-07T00:00:00"/>
    <n v="9389"/>
    <n v="47"/>
    <n v="32"/>
    <n v="441283"/>
    <n v="300448"/>
    <n v="140835"/>
    <n v="133793.25"/>
    <x v="1"/>
  </r>
  <r>
    <x v="5"/>
    <s v="Azerbaijan"/>
    <x v="3"/>
    <x v="1"/>
    <x v="3"/>
    <d v="2012-06-13T00:00:00"/>
    <x v="1"/>
    <n v="423331391"/>
    <d v="2012-07-24T00:00:00"/>
    <n v="2021"/>
    <n v="651"/>
    <n v="525"/>
    <n v="1315671"/>
    <n v="1061025"/>
    <n v="254646"/>
    <n v="241913.69999999998"/>
    <x v="1"/>
  </r>
  <r>
    <x v="4"/>
    <s v="Romania"/>
    <x v="8"/>
    <x v="1"/>
    <x v="0"/>
    <d v="2010-11-26T00:00:00"/>
    <x v="0"/>
    <n v="660643374"/>
    <d v="2010-12-25T00:00:00"/>
    <n v="7910"/>
    <n v="437"/>
    <n v="263"/>
    <n v="3456670"/>
    <n v="2080330"/>
    <n v="1376340"/>
    <n v="1307523"/>
    <x v="1"/>
  </r>
  <r>
    <x v="1"/>
    <s v="Nicaragua"/>
    <x v="9"/>
    <x v="0"/>
    <x v="1"/>
    <d v="2011-02-08T00:00:00"/>
    <x v="5"/>
    <n v="963392674"/>
    <d v="2011-03-21T00:00:00"/>
    <n v="8156"/>
    <n v="47"/>
    <n v="32"/>
    <n v="383332"/>
    <n v="260992"/>
    <n v="122340"/>
    <n v="116223"/>
    <x v="1"/>
  </r>
  <r>
    <x v="2"/>
    <s v="Mali"/>
    <x v="7"/>
    <x v="1"/>
    <x v="3"/>
    <d v="2011-07-26T00:00:00"/>
    <x v="5"/>
    <n v="512878119"/>
    <d v="2011-03-09T00:00:00"/>
    <n v="888"/>
    <n v="109"/>
    <n v="36"/>
    <n v="96792"/>
    <n v="31968"/>
    <n v="64824"/>
    <n v="61582.799999999996"/>
    <x v="1"/>
  </r>
  <r>
    <x v="3"/>
    <s v="Malaysia"/>
    <x v="2"/>
    <x v="0"/>
    <x v="2"/>
    <d v="2011-11-11T00:00:00"/>
    <x v="5"/>
    <n v="810711038"/>
    <d v="2011-12-28T00:00:00"/>
    <n v="6267"/>
    <n v="9"/>
    <n v="7"/>
    <n v="56403"/>
    <n v="43869"/>
    <n v="12534"/>
    <n v="11907.3"/>
    <x v="1"/>
  </r>
  <r>
    <x v="2"/>
    <s v="Sierra Leone"/>
    <x v="5"/>
    <x v="0"/>
    <x v="1"/>
    <d v="2016-06-01T00:00:00"/>
    <x v="7"/>
    <n v="728815257"/>
    <d v="2016-06-29T00:00:00"/>
    <n v="1485"/>
    <n v="154"/>
    <n v="91"/>
    <n v="228690"/>
    <n v="135135"/>
    <n v="93555"/>
    <n v="88877.25"/>
    <x v="1"/>
  </r>
  <r>
    <x v="6"/>
    <s v="Mexico"/>
    <x v="6"/>
    <x v="0"/>
    <x v="3"/>
    <d v="2015-07-30T00:00:00"/>
    <x v="4"/>
    <n v="559427106"/>
    <d v="2015-08-08T00:00:00"/>
    <n v="5767"/>
    <n v="82"/>
    <n v="57"/>
    <n v="472894"/>
    <n v="328719"/>
    <n v="144175"/>
    <n v="136966.25"/>
    <x v="1"/>
  </r>
  <r>
    <x v="2"/>
    <s v="Mozambique"/>
    <x v="4"/>
    <x v="0"/>
    <x v="2"/>
    <d v="2012-02-10T00:00:00"/>
    <x v="1"/>
    <n v="665095412"/>
    <d v="2012-02-15T00:00:00"/>
    <n v="5367"/>
    <n v="668"/>
    <n v="503"/>
    <n v="3585156"/>
    <n v="2699601"/>
    <n v="885555"/>
    <n v="841277.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3:B11" firstHeaderRow="1" firstDataRow="1" firstDataCol="1"/>
  <pivotFields count="17">
    <pivotField axis="axisRow"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numFmtId="164" showAll="0"/>
    <pivotField numFmtId="165" showAll="0"/>
    <pivotField numFmtId="165" showAll="0"/>
    <pivotField dataField="1" numFmtId="165" showAll="0"/>
    <pivotField numFmtId="165" showAll="0"/>
    <pivotField numFmtId="165" showAll="0"/>
    <pivotField numFmtId="165" showAll="0"/>
    <pivotField showAll="0"/>
  </pivotFields>
  <rowFields count="1">
    <field x="0"/>
  </rowFields>
  <rowItems count="8">
    <i>
      <x/>
    </i>
    <i>
      <x v="1"/>
    </i>
    <i>
      <x v="2"/>
    </i>
    <i>
      <x v="3"/>
    </i>
    <i>
      <x v="4"/>
    </i>
    <i>
      <x v="5"/>
    </i>
    <i>
      <x v="6"/>
    </i>
    <i t="grand">
      <x/>
    </i>
  </rowItems>
  <colItems count="1">
    <i/>
  </colItems>
  <dataFields count="1">
    <dataField name="Sum of Total Revenue" fld="12" baseField="0" baseItem="0" numFmtId="165"/>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rder Priority">
  <location ref="D16:E21" firstHeaderRow="1" firstDataRow="1" firstDataCol="1"/>
  <pivotFields count="17">
    <pivotField showAll="0">
      <items count="8">
        <item x="3"/>
        <item x="0"/>
        <item x="1"/>
        <item x="4"/>
        <item x="5"/>
        <item x="6"/>
        <item x="2"/>
        <item t="default"/>
      </items>
    </pivotField>
    <pivotField showAll="0"/>
    <pivotField showAll="0"/>
    <pivotField showAll="0"/>
    <pivotField axis="axisRow" showAll="0">
      <items count="5">
        <item x="1"/>
        <item x="0"/>
        <item x="2"/>
        <item x="3"/>
        <item t="default"/>
      </items>
    </pivotField>
    <pivotField numFmtId="14" showAll="0"/>
    <pivotField showAll="0"/>
    <pivotField showAll="0"/>
    <pivotField numFmtId="14" showAll="0"/>
    <pivotField numFmtId="164" showAll="0"/>
    <pivotField numFmtId="165" showAll="0"/>
    <pivotField numFmtId="165" showAll="0"/>
    <pivotField dataField="1" numFmtId="165" showAll="0"/>
    <pivotField numFmtId="165" showAll="0"/>
    <pivotField numFmtId="165" showAll="0"/>
    <pivotField numFmtId="165" showAll="0"/>
    <pivotField showAll="0"/>
  </pivotFields>
  <rowFields count="1">
    <field x="4"/>
  </rowFields>
  <rowItems count="5">
    <i>
      <x/>
    </i>
    <i>
      <x v="1"/>
    </i>
    <i>
      <x v="2"/>
    </i>
    <i>
      <x v="3"/>
    </i>
    <i t="grand">
      <x/>
    </i>
  </rowItems>
  <colItems count="1">
    <i/>
  </colItems>
  <dataFields count="1">
    <dataField name="Sum of Total Revenue" fld="12" baseField="0" baseItem="0" numFmtId="165"/>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chartFormats count="5">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D6:E14" firstHeaderRow="1" firstDataRow="1" firstDataCol="1"/>
  <pivotFields count="17">
    <pivotField axis="axisRow"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dataField="1" numFmtId="164" showAll="0"/>
    <pivotField numFmtId="165" showAll="0"/>
    <pivotField numFmtId="165" showAll="0"/>
    <pivotField numFmtId="165" showAll="0"/>
    <pivotField numFmtId="165" showAll="0"/>
    <pivotField numFmtId="165" showAll="0"/>
    <pivotField numFmtId="165" showAll="0"/>
    <pivotField showAll="0"/>
  </pivotFields>
  <rowFields count="1">
    <field x="0"/>
  </rowFields>
  <rowItems count="8">
    <i>
      <x/>
    </i>
    <i>
      <x v="1"/>
    </i>
    <i>
      <x v="2"/>
    </i>
    <i>
      <x v="3"/>
    </i>
    <i>
      <x v="4"/>
    </i>
    <i>
      <x v="5"/>
    </i>
    <i>
      <x v="6"/>
    </i>
    <i t="grand">
      <x/>
    </i>
  </rowItems>
  <colItems count="1">
    <i/>
  </colItems>
  <dataFields count="1">
    <dataField name="Sum of Units Sold" fld="9" baseField="0" baseItem="0" numFmtId="167"/>
  </dataFields>
  <formats count="4">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tem Type">
  <location ref="G3:H16" firstHeaderRow="1" firstDataRow="1" firstDataCol="1"/>
  <pivotFields count="17">
    <pivotField showAll="0">
      <items count="8">
        <item x="3"/>
        <item x="0"/>
        <item x="1"/>
        <item x="4"/>
        <item x="5"/>
        <item x="6"/>
        <item x="2"/>
        <item t="default"/>
      </items>
    </pivotField>
    <pivotField showAll="0"/>
    <pivotField axis="axisRow" showAll="0">
      <items count="13">
        <item x="0"/>
        <item x="9"/>
        <item x="1"/>
        <item x="7"/>
        <item x="8"/>
        <item x="2"/>
        <item x="4"/>
        <item x="10"/>
        <item x="3"/>
        <item x="6"/>
        <item x="11"/>
        <item x="5"/>
        <item t="default"/>
      </items>
    </pivotField>
    <pivotField showAll="0"/>
    <pivotField showAll="0"/>
    <pivotField numFmtId="14" showAll="0"/>
    <pivotField showAll="0"/>
    <pivotField showAll="0"/>
    <pivotField numFmtId="14" showAll="0"/>
    <pivotField numFmtId="164" showAll="0"/>
    <pivotField numFmtId="165" showAll="0"/>
    <pivotField numFmtId="165" showAll="0"/>
    <pivotField numFmtId="165" showAll="0"/>
    <pivotField numFmtId="165" showAll="0"/>
    <pivotField numFmtId="165" showAll="0"/>
    <pivotField dataField="1" numFmtId="165"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Net Profit" fld="15" baseField="0" baseItem="0" numFmtId="165"/>
  </dataFields>
  <formats count="3">
    <format dxfId="36">
      <pivotArea outline="0" collapsedLevelsAreSubtotals="1" fieldPosition="0"/>
    </format>
    <format dxfId="35">
      <pivotArea outline="0" collapsedLevelsAreSubtotals="1" fieldPosition="0"/>
    </format>
    <format dxfId="3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RDER YEAR">
  <location ref="D23:E32" firstHeaderRow="1" firstDataRow="1" firstDataCol="1"/>
  <pivotFields count="17">
    <pivotField showAll="0">
      <items count="8">
        <item x="3"/>
        <item x="0"/>
        <item x="1"/>
        <item x="4"/>
        <item x="5"/>
        <item x="6"/>
        <item x="2"/>
        <item t="default"/>
      </items>
    </pivotField>
    <pivotField showAll="0"/>
    <pivotField showAll="0"/>
    <pivotField showAll="0"/>
    <pivotField showAll="0"/>
    <pivotField numFmtId="14" showAll="0"/>
    <pivotField axis="axisRow" showAll="0">
      <items count="9">
        <item x="0"/>
        <item x="5"/>
        <item x="1"/>
        <item x="3"/>
        <item x="2"/>
        <item x="4"/>
        <item x="7"/>
        <item x="6"/>
        <item t="default"/>
      </items>
    </pivotField>
    <pivotField showAll="0"/>
    <pivotField numFmtId="14" showAll="0"/>
    <pivotField numFmtId="164" showAll="0"/>
    <pivotField numFmtId="165" showAll="0"/>
    <pivotField numFmtId="165" showAll="0"/>
    <pivotField numFmtId="165" showAll="0"/>
    <pivotField numFmtId="165" showAll="0"/>
    <pivotField numFmtId="165" showAll="0"/>
    <pivotField dataField="1" numFmtId="165" showAll="0"/>
    <pivotField showAll="0"/>
  </pivotFields>
  <rowFields count="1">
    <field x="6"/>
  </rowFields>
  <rowItems count="9">
    <i>
      <x/>
    </i>
    <i>
      <x v="1"/>
    </i>
    <i>
      <x v="2"/>
    </i>
    <i>
      <x v="3"/>
    </i>
    <i>
      <x v="4"/>
    </i>
    <i>
      <x v="5"/>
    </i>
    <i>
      <x v="6"/>
    </i>
    <i>
      <x v="7"/>
    </i>
    <i t="grand">
      <x/>
    </i>
  </rowItems>
  <colItems count="1">
    <i/>
  </colItems>
  <dataFields count="1">
    <dataField name="Sum of Net Profit" fld="15" baseField="0" baseItem="0" numFmtId="165"/>
  </dataFields>
  <formats count="3">
    <format dxfId="39">
      <pivotArea outline="0" collapsedLevelsAreSubtotals="1" fieldPosition="0"/>
    </format>
    <format dxfId="38">
      <pivotArea outline="0" collapsedLevelsAreSubtotals="1" fieldPosition="0"/>
    </format>
    <format dxfId="37">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17">
    <pivotField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numFmtId="164" showAll="0"/>
    <pivotField numFmtId="165" showAll="0"/>
    <pivotField numFmtId="165" showAll="0"/>
    <pivotField numFmtId="165" showAll="0"/>
    <pivotField numFmtId="165" showAll="0"/>
    <pivotField numFmtId="165" showAll="0"/>
    <pivotField numFmtId="165" showAll="0"/>
    <pivotField dataField="1" showAll="0">
      <items count="3">
        <item x="0"/>
        <item x="1"/>
        <item t="default"/>
      </items>
    </pivotField>
  </pivotFields>
  <rowItems count="1">
    <i/>
  </rowItems>
  <colItems count="1">
    <i/>
  </colItems>
  <dataFields count="1">
    <dataField name="Average of NP" fld="16" subtotal="average" baseField="0" baseItem="320039336" numFmtId="166"/>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ales Channel">
  <location ref="D34:E37" firstHeaderRow="1" firstDataRow="1" firstDataCol="1"/>
  <pivotFields count="17">
    <pivotField showAll="0">
      <items count="8">
        <item x="3"/>
        <item x="0"/>
        <item x="1"/>
        <item x="4"/>
        <item x="5"/>
        <item x="6"/>
        <item x="2"/>
        <item t="default"/>
      </items>
    </pivotField>
    <pivotField showAll="0"/>
    <pivotField showAll="0"/>
    <pivotField axis="axisRow" showAll="0">
      <items count="3">
        <item x="0"/>
        <item x="1"/>
        <item t="default"/>
      </items>
    </pivotField>
    <pivotField showAll="0"/>
    <pivotField numFmtId="14" showAll="0"/>
    <pivotField showAll="0"/>
    <pivotField showAll="0"/>
    <pivotField numFmtId="14" showAll="0"/>
    <pivotField numFmtId="164" showAll="0"/>
    <pivotField numFmtId="165" showAll="0"/>
    <pivotField numFmtId="165" showAll="0"/>
    <pivotField numFmtId="165" showAll="0"/>
    <pivotField numFmtId="165" showAll="0"/>
    <pivotField numFmtId="165" showAll="0"/>
    <pivotField dataField="1" numFmtId="165" showAll="0"/>
    <pivotField showAll="0"/>
  </pivotFields>
  <rowFields count="1">
    <field x="3"/>
  </rowFields>
  <rowItems count="3">
    <i>
      <x/>
    </i>
    <i>
      <x v="1"/>
    </i>
    <i t="grand">
      <x/>
    </i>
  </rowItems>
  <colItems count="1">
    <i/>
  </colItems>
  <dataFields count="1">
    <dataField name="Count of Net Profit" fld="15" subtotal="count" showDataAs="percentOfCol" baseField="3" baseItem="0" numFmtId="10"/>
  </dataFields>
  <formats count="4">
    <format dxfId="44">
      <pivotArea collapsedLevelsAreSubtotals="1" fieldPosition="0">
        <references count="1">
          <reference field="3" count="1">
            <x v="0"/>
          </reference>
        </references>
      </pivotArea>
    </format>
    <format dxfId="43">
      <pivotArea collapsedLevelsAreSubtotals="1" fieldPosition="0">
        <references count="1">
          <reference field="3" count="1">
            <x v="0"/>
          </reference>
        </references>
      </pivotArea>
    </format>
    <format dxfId="42">
      <pivotArea collapsedLevelsAreSubtotals="1" fieldPosition="0">
        <references count="1">
          <reference field="3" count="1">
            <x v="1"/>
          </reference>
        </references>
      </pivotArea>
    </format>
    <format dxfId="41">
      <pivotArea collapsedLevelsAreSubtotals="1" fieldPosition="0">
        <references count="1">
          <reference field="3" count="1">
            <x v="1"/>
          </reference>
        </references>
      </pivotArea>
    </format>
  </format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33:B41" firstHeaderRow="1" firstDataRow="1" firstDataCol="1"/>
  <pivotFields count="17">
    <pivotField axis="axisRow"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numFmtId="164" showAll="0"/>
    <pivotField numFmtId="165" showAll="0"/>
    <pivotField numFmtId="165" showAll="0"/>
    <pivotField numFmtId="165" showAll="0"/>
    <pivotField numFmtId="165" showAll="0"/>
    <pivotField dataField="1" numFmtId="165" showAll="0"/>
    <pivotField numFmtId="165" showAll="0"/>
    <pivotField showAll="0"/>
  </pivotFields>
  <rowFields count="1">
    <field x="0"/>
  </rowFields>
  <rowItems count="8">
    <i>
      <x/>
    </i>
    <i>
      <x v="1"/>
    </i>
    <i>
      <x v="2"/>
    </i>
    <i>
      <x v="3"/>
    </i>
    <i>
      <x v="4"/>
    </i>
    <i>
      <x v="5"/>
    </i>
    <i>
      <x v="6"/>
    </i>
    <i t="grand">
      <x/>
    </i>
  </rowItems>
  <colItems count="1">
    <i/>
  </colItems>
  <dataFields count="1">
    <dataField name="Sum of Gross Profit" fld="14" baseField="0" baseItem="0" numFmtId="165"/>
  </dataFields>
  <formats count="3">
    <format dxfId="47">
      <pivotArea outline="0" collapsedLevelsAreSubtotals="1" fieldPosition="0"/>
    </format>
    <format dxfId="46">
      <pivotArea outline="0" collapsedLevelsAreSubtotals="1"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23:B31" firstHeaderRow="1" firstDataRow="1" firstDataCol="1"/>
  <pivotFields count="17">
    <pivotField axis="axisRow"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numFmtId="164" showAll="0"/>
    <pivotField numFmtId="165" showAll="0"/>
    <pivotField numFmtId="165" showAll="0"/>
    <pivotField numFmtId="165" showAll="0"/>
    <pivotField numFmtId="165" showAll="0"/>
    <pivotField numFmtId="165" showAll="0"/>
    <pivotField dataField="1" numFmtId="165" showAll="0"/>
    <pivotField showAll="0"/>
  </pivotFields>
  <rowFields count="1">
    <field x="0"/>
  </rowFields>
  <rowItems count="8">
    <i>
      <x/>
    </i>
    <i>
      <x v="1"/>
    </i>
    <i>
      <x v="2"/>
    </i>
    <i>
      <x v="3"/>
    </i>
    <i>
      <x v="4"/>
    </i>
    <i>
      <x v="5"/>
    </i>
    <i>
      <x v="6"/>
    </i>
    <i t="grand">
      <x/>
    </i>
  </rowItems>
  <colItems count="1">
    <i/>
  </colItems>
  <dataFields count="1">
    <dataField name="Sum of Net Profit" fld="15" baseField="0" baseItem="0" numFmtId="165"/>
  </dataFields>
  <formats count="3">
    <format dxfId="50">
      <pivotArea outline="0" collapsedLevelsAreSubtotals="1" fieldPosition="0"/>
    </format>
    <format dxfId="49">
      <pivotArea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3:B21" firstHeaderRow="1" firstDataRow="1" firstDataCol="1"/>
  <pivotFields count="17">
    <pivotField axis="axisRow" showAll="0">
      <items count="8">
        <item x="3"/>
        <item x="0"/>
        <item x="1"/>
        <item x="4"/>
        <item x="5"/>
        <item x="6"/>
        <item x="2"/>
        <item t="default"/>
      </items>
    </pivotField>
    <pivotField showAll="0"/>
    <pivotField showAll="0"/>
    <pivotField showAll="0"/>
    <pivotField showAll="0"/>
    <pivotField numFmtId="14" showAll="0"/>
    <pivotField showAll="0"/>
    <pivotField showAll="0"/>
    <pivotField numFmtId="14" showAll="0"/>
    <pivotField numFmtId="164" showAll="0"/>
    <pivotField numFmtId="165" showAll="0"/>
    <pivotField numFmtId="165" showAll="0"/>
    <pivotField numFmtId="165" showAll="0"/>
    <pivotField dataField="1" numFmtId="165" showAll="0"/>
    <pivotField numFmtId="165" showAll="0"/>
    <pivotField numFmtId="165" showAll="0"/>
    <pivotField showAll="0"/>
  </pivotFields>
  <rowFields count="1">
    <field x="0"/>
  </rowFields>
  <rowItems count="8">
    <i>
      <x/>
    </i>
    <i>
      <x v="1"/>
    </i>
    <i>
      <x v="2"/>
    </i>
    <i>
      <x v="3"/>
    </i>
    <i>
      <x v="4"/>
    </i>
    <i>
      <x v="5"/>
    </i>
    <i>
      <x v="6"/>
    </i>
    <i t="grand">
      <x/>
    </i>
  </rowItems>
  <colItems count="1">
    <i/>
  </colItems>
  <dataFields count="1">
    <dataField name="Sum of Total Cost" fld="13" baseField="0" baseItem="0" numFmtId="165"/>
  </dataFields>
  <formats count="3">
    <format dxfId="53">
      <pivotArea outline="0" collapsedLevelsAreSubtotals="1" fieldPosition="0"/>
    </format>
    <format dxfId="52">
      <pivotArea outline="0" collapsedLevelsAreSubtotals="1"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62"/>
    <pivotTable tabId="4" name="PivotTable55"/>
    <pivotTable tabId="4" name="PivotTable56"/>
    <pivotTable tabId="4" name="PivotTable57"/>
    <pivotTable tabId="4" name="PivotTable58"/>
    <pivotTable tabId="4" name="PivotTable59"/>
    <pivotTable tabId="4" name="PivotTable60"/>
    <pivotTable tabId="4" name="PivotTable61"/>
    <pivotTable tabId="4" name="PivotTable64"/>
    <pivotTable tabId="4" name="PivotTable65"/>
  </pivotTables>
  <data>
    <tabular pivotCacheId="1">
      <items count="7">
        <i x="3" s="1"/>
        <i x="0" s="1"/>
        <i x="1" s="1"/>
        <i x="4" s="1"/>
        <i x="5"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2" rowHeight="241300"/>
</slicers>
</file>

<file path=xl/tables/table1.xml><?xml version="1.0" encoding="utf-8"?>
<table xmlns="http://schemas.openxmlformats.org/spreadsheetml/2006/main" id="2" name="Table2" displayName="Table2" ref="A1:Q101" totalsRowCount="1" headerRowDxfId="23" dataDxfId="22" dataCellStyle="Comma">
  <autoFilter ref="A1:Q100"/>
  <tableColumns count="17">
    <tableColumn id="1" name="Region"/>
    <tableColumn id="2" name="Country"/>
    <tableColumn id="3" name="Item Type"/>
    <tableColumn id="4" name="Sales Channel"/>
    <tableColumn id="5" name="Order Priority"/>
    <tableColumn id="6" name="Order Date" dataDxfId="21" totalsRowDxfId="20"/>
    <tableColumn id="18" name="Order Year" dataDxfId="19" totalsRowDxfId="18">
      <calculatedColumnFormula>YEAR(Table2[[#This Row],[Order Date]])</calculatedColumnFormula>
    </tableColumn>
    <tableColumn id="7" name="Order ID"/>
    <tableColumn id="8" name="Ship Date" dataDxfId="17" totalsRowDxfId="16"/>
    <tableColumn id="9" name="Units Sold" totalsRowFunction="custom" dataDxfId="15" totalsRowDxfId="14" dataCellStyle="Comma">
      <totalsRowFormula>SUM(J2:J100)</totalsRowFormula>
    </tableColumn>
    <tableColumn id="10" name="Unit Price" dataDxfId="13" totalsRowDxfId="12" dataCellStyle="Comma"/>
    <tableColumn id="11" name="Unit Cost" dataDxfId="11" totalsRowDxfId="10" dataCellStyle="Comma"/>
    <tableColumn id="12" name="Total Revenue" totalsRowFunction="custom" dataDxfId="9" totalsRowDxfId="8" dataCellStyle="Comma">
      <calculatedColumnFormula>Table2[[#This Row],[Units Sold]]*Table2[[#This Row],[Unit Price]]</calculatedColumnFormula>
      <totalsRowFormula>SUM(M2:M100)</totalsRowFormula>
    </tableColumn>
    <tableColumn id="13" name="Total Cost" totalsRowFunction="custom" dataDxfId="7" totalsRowDxfId="6" dataCellStyle="Comma">
      <calculatedColumnFormula>Table2[[#This Row],[Unit Cost]]*Table2[[#This Row],[Units Sold]]</calculatedColumnFormula>
      <totalsRowFormula>SUM(N2:N100)</totalsRowFormula>
    </tableColumn>
    <tableColumn id="14" name="Gross Profit" totalsRowFunction="custom" dataDxfId="5" totalsRowDxfId="4" dataCellStyle="Comma">
      <calculatedColumnFormula>Table2[[#This Row],[Total Revenue]]-Table2[[#This Row],[Total Cost]]</calculatedColumnFormula>
      <totalsRowFormula>SUM(O2:O100)</totalsRowFormula>
    </tableColumn>
    <tableColumn id="15" name="Net Profit" totalsRowFunction="sum" dataDxfId="3" totalsRowDxfId="2" dataCellStyle="Comma">
      <calculatedColumnFormula>Table2[[#This Row],[Gross Profit]]*0.95</calculatedColumnFormula>
    </tableColumn>
    <tableColumn id="19" name="AverageNP" dataDxfId="1" totalsRow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41"/>
  <sheetViews>
    <sheetView topLeftCell="A22" workbookViewId="0">
      <selection activeCell="I31" sqref="I31"/>
    </sheetView>
  </sheetViews>
  <sheetFormatPr defaultRowHeight="14.5"/>
  <cols>
    <col min="1" max="1" width="32.453125" customWidth="1"/>
    <col min="2" max="2" width="18.26953125" customWidth="1"/>
    <col min="4" max="4" width="15.7265625" customWidth="1"/>
    <col min="5" max="5" width="18" customWidth="1"/>
    <col min="7" max="7" width="14.54296875" customWidth="1"/>
    <col min="8" max="8" width="16.453125" bestFit="1" customWidth="1"/>
  </cols>
  <sheetData>
    <row r="3" spans="1:8">
      <c r="A3" s="18" t="s">
        <v>0</v>
      </c>
      <c r="B3" t="s">
        <v>118</v>
      </c>
      <c r="D3" t="s">
        <v>122</v>
      </c>
      <c r="G3" s="18" t="s">
        <v>2</v>
      </c>
      <c r="H3" t="s">
        <v>120</v>
      </c>
    </row>
    <row r="4" spans="1:8">
      <c r="A4" s="19" t="s">
        <v>35</v>
      </c>
      <c r="B4" s="6">
        <v>21335028</v>
      </c>
      <c r="D4" s="21">
        <v>440911.93686868693</v>
      </c>
      <c r="G4" s="19" t="s">
        <v>13</v>
      </c>
      <c r="H4" s="6">
        <v>3697704</v>
      </c>
    </row>
    <row r="5" spans="1:8">
      <c r="A5" s="19" t="s">
        <v>11</v>
      </c>
      <c r="B5" s="6">
        <v>14075241</v>
      </c>
      <c r="G5" s="19" t="s">
        <v>46</v>
      </c>
      <c r="H5" s="6">
        <v>808089</v>
      </c>
    </row>
    <row r="6" spans="1:8">
      <c r="A6" s="19" t="s">
        <v>16</v>
      </c>
      <c r="B6" s="6">
        <v>9165918</v>
      </c>
      <c r="D6" s="18" t="s">
        <v>0</v>
      </c>
      <c r="E6" t="s">
        <v>123</v>
      </c>
      <c r="G6" s="19" t="s">
        <v>17</v>
      </c>
      <c r="H6" s="6">
        <v>2187900.35</v>
      </c>
    </row>
    <row r="7" spans="1:8">
      <c r="A7" s="19" t="s">
        <v>20</v>
      </c>
      <c r="B7" s="6">
        <v>32188083</v>
      </c>
      <c r="D7" s="19" t="s">
        <v>35</v>
      </c>
      <c r="E7" s="22">
        <v>59967</v>
      </c>
      <c r="G7" s="19" t="s">
        <v>38</v>
      </c>
      <c r="H7" s="6">
        <v>4941881</v>
      </c>
    </row>
    <row r="8" spans="1:8">
      <c r="A8" s="19" t="s">
        <v>64</v>
      </c>
      <c r="B8" s="6">
        <v>14043215</v>
      </c>
      <c r="D8" s="19" t="s">
        <v>11</v>
      </c>
      <c r="E8" s="22">
        <v>68325</v>
      </c>
      <c r="G8" s="19" t="s">
        <v>44</v>
      </c>
      <c r="H8" s="6">
        <v>13838585.399999997</v>
      </c>
    </row>
    <row r="9" spans="1:8">
      <c r="A9" s="19" t="s">
        <v>91</v>
      </c>
      <c r="B9" s="6">
        <v>5644770</v>
      </c>
      <c r="D9" s="19" t="s">
        <v>16</v>
      </c>
      <c r="E9" s="22">
        <v>35771</v>
      </c>
      <c r="G9" s="19" t="s">
        <v>23</v>
      </c>
      <c r="H9" s="6">
        <v>94996.2</v>
      </c>
    </row>
    <row r="10" spans="1:8">
      <c r="A10" s="19" t="s">
        <v>21</v>
      </c>
      <c r="B10" s="6">
        <v>39652991</v>
      </c>
      <c r="D10" s="19" t="s">
        <v>20</v>
      </c>
      <c r="E10" s="22">
        <v>96338</v>
      </c>
      <c r="G10" s="19" t="s">
        <v>29</v>
      </c>
      <c r="H10" s="6">
        <v>9011715.1999999993</v>
      </c>
    </row>
    <row r="11" spans="1:8">
      <c r="A11" s="19" t="s">
        <v>117</v>
      </c>
      <c r="B11" s="6">
        <v>136105246</v>
      </c>
      <c r="D11" s="19" t="s">
        <v>64</v>
      </c>
      <c r="E11" s="22">
        <v>48678</v>
      </c>
      <c r="G11" s="19" t="s">
        <v>49</v>
      </c>
      <c r="H11" s="6">
        <v>578051.25</v>
      </c>
    </row>
    <row r="12" spans="1:8">
      <c r="D12" s="19" t="s">
        <v>91</v>
      </c>
      <c r="E12" s="22">
        <v>19143</v>
      </c>
      <c r="G12" s="19" t="s">
        <v>25</v>
      </c>
      <c r="H12" s="6">
        <v>5409003.5999999996</v>
      </c>
    </row>
    <row r="13" spans="1:8">
      <c r="A13" s="18" t="s">
        <v>0</v>
      </c>
      <c r="B13" t="s">
        <v>119</v>
      </c>
      <c r="D13" s="19" t="s">
        <v>21</v>
      </c>
      <c r="E13" s="22">
        <v>182870</v>
      </c>
      <c r="G13" s="19" t="s">
        <v>33</v>
      </c>
      <c r="H13" s="6">
        <v>1156815</v>
      </c>
    </row>
    <row r="14" spans="1:8">
      <c r="A14" s="19" t="s">
        <v>35</v>
      </c>
      <c r="B14" s="6">
        <v>15241636</v>
      </c>
      <c r="D14" s="19" t="s">
        <v>117</v>
      </c>
      <c r="E14" s="22">
        <v>511092</v>
      </c>
      <c r="G14" s="19" t="s">
        <v>116</v>
      </c>
      <c r="H14" s="6">
        <v>725488.39999999991</v>
      </c>
    </row>
    <row r="15" spans="1:8">
      <c r="A15" s="19" t="s">
        <v>11</v>
      </c>
      <c r="B15" s="6">
        <v>9371508</v>
      </c>
      <c r="G15" s="19" t="s">
        <v>31</v>
      </c>
      <c r="H15" s="6">
        <v>1200052.3499999999</v>
      </c>
    </row>
    <row r="16" spans="1:8">
      <c r="A16" s="19" t="s">
        <v>16</v>
      </c>
      <c r="B16" s="6">
        <v>6330463</v>
      </c>
      <c r="D16" s="18" t="s">
        <v>4</v>
      </c>
      <c r="E16" t="s">
        <v>118</v>
      </c>
      <c r="G16" s="19" t="s">
        <v>117</v>
      </c>
      <c r="H16" s="6">
        <v>43650281.749999993</v>
      </c>
    </row>
    <row r="17" spans="1:8">
      <c r="A17" s="19" t="s">
        <v>20</v>
      </c>
      <c r="B17" s="6">
        <v>21341292</v>
      </c>
      <c r="D17" s="19" t="s">
        <v>19</v>
      </c>
      <c r="E17" s="6">
        <v>18821578</v>
      </c>
    </row>
    <row r="18" spans="1:8">
      <c r="A18" s="19" t="s">
        <v>64</v>
      </c>
      <c r="B18" s="6">
        <v>8285994</v>
      </c>
      <c r="D18" s="19" t="s">
        <v>15</v>
      </c>
      <c r="E18" s="6">
        <v>48722994</v>
      </c>
    </row>
    <row r="19" spans="1:8">
      <c r="A19" s="19" t="s">
        <v>91</v>
      </c>
      <c r="B19" s="6">
        <v>4192635</v>
      </c>
      <c r="D19" s="19" t="s">
        <v>26</v>
      </c>
      <c r="E19" s="6">
        <v>35452217</v>
      </c>
    </row>
    <row r="20" spans="1:8">
      <c r="A20" s="19" t="s">
        <v>21</v>
      </c>
      <c r="B20" s="6">
        <v>25394053</v>
      </c>
      <c r="D20" s="19" t="s">
        <v>30</v>
      </c>
      <c r="E20" s="6">
        <v>33108457</v>
      </c>
    </row>
    <row r="21" spans="1:8">
      <c r="A21" s="19" t="s">
        <v>117</v>
      </c>
      <c r="B21" s="6">
        <v>90157581</v>
      </c>
      <c r="D21" s="19" t="s">
        <v>117</v>
      </c>
      <c r="E21" s="6">
        <v>136105246</v>
      </c>
    </row>
    <row r="23" spans="1:8">
      <c r="A23" s="18" t="s">
        <v>0</v>
      </c>
      <c r="B23" t="s">
        <v>120</v>
      </c>
      <c r="D23" s="18" t="s">
        <v>130</v>
      </c>
      <c r="E23" t="s">
        <v>120</v>
      </c>
    </row>
    <row r="24" spans="1:8">
      <c r="A24" s="19" t="s">
        <v>35</v>
      </c>
      <c r="B24" s="6">
        <v>5788722.3999999994</v>
      </c>
      <c r="D24" s="19">
        <v>2010</v>
      </c>
      <c r="E24" s="6">
        <v>6286726.6500000004</v>
      </c>
      <c r="G24" s="19"/>
      <c r="H24" s="11"/>
    </row>
    <row r="25" spans="1:8">
      <c r="A25" s="19" t="s">
        <v>11</v>
      </c>
      <c r="B25" s="6">
        <v>4468546.3499999996</v>
      </c>
      <c r="D25" s="19">
        <v>2011</v>
      </c>
      <c r="E25" s="6">
        <v>4584006.5</v>
      </c>
      <c r="G25" s="19"/>
      <c r="H25" s="11"/>
    </row>
    <row r="26" spans="1:8">
      <c r="A26" s="19" t="s">
        <v>16</v>
      </c>
      <c r="B26" s="6">
        <v>2693682.25</v>
      </c>
      <c r="D26" s="19">
        <v>2012</v>
      </c>
      <c r="E26" s="6">
        <v>8735027.6999999993</v>
      </c>
      <c r="G26" s="19"/>
      <c r="H26" s="11"/>
    </row>
    <row r="27" spans="1:8">
      <c r="A27" s="19" t="s">
        <v>20</v>
      </c>
      <c r="B27" s="6">
        <v>10304451.449999999</v>
      </c>
      <c r="D27" s="19">
        <v>2013</v>
      </c>
      <c r="E27" s="6">
        <v>6376077</v>
      </c>
      <c r="G27" s="19"/>
      <c r="H27" s="11"/>
    </row>
    <row r="28" spans="1:8">
      <c r="A28" s="19" t="s">
        <v>64</v>
      </c>
      <c r="B28" s="6">
        <v>5469359.9499999993</v>
      </c>
      <c r="D28" s="19">
        <v>2014</v>
      </c>
      <c r="E28" s="6">
        <v>5346096.5</v>
      </c>
      <c r="G28" s="19"/>
      <c r="H28" s="11"/>
    </row>
    <row r="29" spans="1:8">
      <c r="A29" s="19" t="s">
        <v>91</v>
      </c>
      <c r="B29" s="6">
        <v>1379528.25</v>
      </c>
      <c r="D29" s="19">
        <v>2015</v>
      </c>
      <c r="E29" s="6">
        <v>3781323.95</v>
      </c>
      <c r="G29" s="19"/>
      <c r="H29" s="11"/>
    </row>
    <row r="30" spans="1:8">
      <c r="A30" s="19" t="s">
        <v>21</v>
      </c>
      <c r="B30" s="6">
        <v>13545991.1</v>
      </c>
      <c r="D30" s="19">
        <v>2016</v>
      </c>
      <c r="E30" s="6">
        <v>4657676.1499999994</v>
      </c>
      <c r="G30" s="19"/>
      <c r="H30" s="11"/>
    </row>
    <row r="31" spans="1:8">
      <c r="A31" s="19" t="s">
        <v>117</v>
      </c>
      <c r="B31" s="6">
        <v>43650281.75</v>
      </c>
      <c r="D31" s="19">
        <v>2017</v>
      </c>
      <c r="E31" s="6">
        <v>3883347.2999999993</v>
      </c>
      <c r="G31" s="19"/>
      <c r="H31" s="11"/>
    </row>
    <row r="32" spans="1:8">
      <c r="D32" s="19" t="s">
        <v>117</v>
      </c>
      <c r="E32" s="6">
        <v>43650281.75</v>
      </c>
      <c r="G32" s="19"/>
      <c r="H32" s="11"/>
    </row>
    <row r="33" spans="1:5">
      <c r="A33" s="18" t="s">
        <v>0</v>
      </c>
      <c r="B33" t="s">
        <v>121</v>
      </c>
    </row>
    <row r="34" spans="1:5">
      <c r="A34" s="19" t="s">
        <v>35</v>
      </c>
      <c r="B34" s="6">
        <v>6093392</v>
      </c>
      <c r="D34" s="18" t="s">
        <v>3</v>
      </c>
      <c r="E34" t="s">
        <v>131</v>
      </c>
    </row>
    <row r="35" spans="1:5">
      <c r="A35" s="19" t="s">
        <v>11</v>
      </c>
      <c r="B35" s="6">
        <v>4703733</v>
      </c>
      <c r="D35" s="19" t="s">
        <v>14</v>
      </c>
      <c r="E35" s="41">
        <v>0.49494949494949497</v>
      </c>
    </row>
    <row r="36" spans="1:5">
      <c r="A36" s="19" t="s">
        <v>16</v>
      </c>
      <c r="B36" s="6">
        <v>2835455</v>
      </c>
      <c r="D36" s="19" t="s">
        <v>18</v>
      </c>
      <c r="E36" s="41">
        <v>0.50505050505050508</v>
      </c>
    </row>
    <row r="37" spans="1:5">
      <c r="A37" s="19" t="s">
        <v>20</v>
      </c>
      <c r="B37" s="6">
        <v>10846791</v>
      </c>
      <c r="D37" s="19" t="s">
        <v>117</v>
      </c>
      <c r="E37" s="40">
        <v>1</v>
      </c>
    </row>
    <row r="38" spans="1:5">
      <c r="A38" s="19" t="s">
        <v>64</v>
      </c>
      <c r="B38" s="6">
        <v>5757221</v>
      </c>
    </row>
    <row r="39" spans="1:5">
      <c r="A39" s="19" t="s">
        <v>91</v>
      </c>
      <c r="B39" s="6">
        <v>1452135</v>
      </c>
    </row>
    <row r="40" spans="1:5">
      <c r="A40" s="19" t="s">
        <v>21</v>
      </c>
      <c r="B40" s="6">
        <v>14258938</v>
      </c>
    </row>
    <row r="41" spans="1:5">
      <c r="A41" s="19" t="s">
        <v>117</v>
      </c>
      <c r="B41" s="6">
        <v>45947665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1"/>
  <sheetViews>
    <sheetView showGridLines="0" tabSelected="1" topLeftCell="D7" workbookViewId="0">
      <selection activeCell="E7" sqref="E7:G28"/>
    </sheetView>
  </sheetViews>
  <sheetFormatPr defaultRowHeight="14.5"/>
  <cols>
    <col min="3" max="3" width="11.7265625" customWidth="1"/>
    <col min="4" max="4" width="2" customWidth="1"/>
    <col min="7" max="7" width="19.1796875" customWidth="1"/>
    <col min="8" max="8" width="0.81640625" customWidth="1"/>
    <col min="11" max="11" width="17.1796875" customWidth="1"/>
    <col min="12" max="12" width="0.7265625" customWidth="1"/>
    <col min="15" max="15" width="13.54296875" customWidth="1"/>
    <col min="16" max="16" width="0.7265625" customWidth="1"/>
    <col min="20" max="20" width="3.26953125" customWidth="1"/>
  </cols>
  <sheetData>
    <row r="2" spans="2:21" ht="37.5" customHeight="1" thickBot="1">
      <c r="B2" s="48" t="s">
        <v>132</v>
      </c>
      <c r="C2" s="49"/>
      <c r="D2" s="49"/>
      <c r="E2" s="49"/>
      <c r="F2" s="49"/>
      <c r="G2" s="49"/>
      <c r="H2" s="49"/>
      <c r="I2" s="49"/>
      <c r="J2" s="49"/>
      <c r="K2" s="49"/>
      <c r="L2" s="49"/>
      <c r="M2" s="49"/>
      <c r="N2" s="49"/>
      <c r="O2" s="49"/>
      <c r="P2" s="49"/>
      <c r="Q2" s="49"/>
      <c r="R2" s="49"/>
      <c r="S2" s="49"/>
      <c r="T2" s="49"/>
      <c r="U2" s="33"/>
    </row>
    <row r="3" spans="2:21" ht="7.5" customHeight="1">
      <c r="B3" s="52"/>
      <c r="C3" s="53"/>
      <c r="D3" s="23"/>
      <c r="E3" s="23"/>
      <c r="F3" s="23"/>
      <c r="G3" s="23"/>
      <c r="H3" s="23"/>
      <c r="I3" s="23"/>
      <c r="J3" s="23"/>
      <c r="K3" s="23"/>
      <c r="L3" s="23"/>
      <c r="M3" s="23"/>
      <c r="N3" s="23"/>
      <c r="O3" s="23"/>
      <c r="P3" s="23"/>
      <c r="Q3" s="23"/>
      <c r="R3" s="23"/>
      <c r="S3" s="23"/>
      <c r="T3" s="24"/>
      <c r="U3" s="33"/>
    </row>
    <row r="4" spans="2:21" ht="20">
      <c r="B4" s="54"/>
      <c r="C4" s="55"/>
      <c r="D4" s="25"/>
      <c r="E4" s="45" t="s">
        <v>124</v>
      </c>
      <c r="F4" s="45"/>
      <c r="G4" s="45"/>
      <c r="H4" s="25"/>
      <c r="I4" s="45" t="s">
        <v>125</v>
      </c>
      <c r="J4" s="45"/>
      <c r="K4" s="45"/>
      <c r="L4" s="25"/>
      <c r="M4" s="45" t="s">
        <v>126</v>
      </c>
      <c r="N4" s="45"/>
      <c r="O4" s="45"/>
      <c r="P4" s="27"/>
      <c r="Q4" s="45" t="s">
        <v>127</v>
      </c>
      <c r="R4" s="45"/>
      <c r="S4" s="45"/>
      <c r="T4" s="26"/>
      <c r="U4" s="33"/>
    </row>
    <row r="5" spans="2:21" ht="20">
      <c r="B5" s="54"/>
      <c r="C5" s="55"/>
      <c r="D5" s="25"/>
      <c r="E5" s="45"/>
      <c r="F5" s="45"/>
      <c r="G5" s="45"/>
      <c r="H5" s="25"/>
      <c r="I5" s="45"/>
      <c r="J5" s="45"/>
      <c r="K5" s="45"/>
      <c r="L5" s="25"/>
      <c r="M5" s="45"/>
      <c r="N5" s="45"/>
      <c r="O5" s="45"/>
      <c r="P5" s="27"/>
      <c r="Q5" s="45"/>
      <c r="R5" s="45"/>
      <c r="S5" s="45"/>
      <c r="T5" s="26"/>
      <c r="U5" s="33"/>
    </row>
    <row r="6" spans="2:21" ht="22.5">
      <c r="B6" s="54"/>
      <c r="C6" s="55"/>
      <c r="D6" s="25"/>
      <c r="E6" s="47">
        <f>GETPIVOTDATA("Total Revenue",'PIVOT TABLE'!$A$3)</f>
        <v>136105246</v>
      </c>
      <c r="F6" s="47"/>
      <c r="G6" s="47"/>
      <c r="H6" s="25"/>
      <c r="I6" s="47">
        <f>GETPIVOTDATA("Gross Profit",'PIVOT TABLE'!$A$33)</f>
        <v>45947665</v>
      </c>
      <c r="J6" s="47"/>
      <c r="K6" s="47"/>
      <c r="L6" s="25"/>
      <c r="M6" s="47">
        <f>GETPIVOTDATA("Net Profit",'PIVOT TABLE'!$A$23)</f>
        <v>43650281.75</v>
      </c>
      <c r="N6" s="47"/>
      <c r="O6" s="47"/>
      <c r="P6" s="28"/>
      <c r="Q6" s="47">
        <f>GETPIVOTDATA("AverageNP",'PIVOT TABLE'!$D$3)</f>
        <v>440911.93686868693</v>
      </c>
      <c r="R6" s="47"/>
      <c r="S6" s="47"/>
      <c r="T6" s="26"/>
      <c r="U6" s="33"/>
    </row>
    <row r="7" spans="2:21" ht="20">
      <c r="B7" s="44" t="s">
        <v>128</v>
      </c>
      <c r="C7" s="45"/>
      <c r="D7" s="27"/>
      <c r="E7" s="25"/>
      <c r="F7" s="25"/>
      <c r="G7" s="25"/>
      <c r="H7" s="25"/>
      <c r="I7" s="25"/>
      <c r="J7" s="25"/>
      <c r="K7" s="25"/>
      <c r="L7" s="25"/>
      <c r="M7" s="25"/>
      <c r="N7" s="25"/>
      <c r="O7" s="25"/>
      <c r="P7" s="25"/>
      <c r="Q7" s="29"/>
      <c r="R7" s="29"/>
      <c r="S7" s="29"/>
      <c r="T7" s="26"/>
      <c r="U7" s="33"/>
    </row>
    <row r="8" spans="2:21" ht="20">
      <c r="B8" s="44"/>
      <c r="C8" s="45"/>
      <c r="D8" s="27"/>
      <c r="E8" s="25"/>
      <c r="F8" s="25"/>
      <c r="G8" s="25"/>
      <c r="H8" s="25"/>
      <c r="I8" s="25"/>
      <c r="J8" s="25"/>
      <c r="K8" s="25"/>
      <c r="L8" s="25"/>
      <c r="M8" s="25"/>
      <c r="N8" s="25"/>
      <c r="O8" s="25"/>
      <c r="P8" s="25"/>
      <c r="Q8" s="29"/>
      <c r="R8" s="29"/>
      <c r="S8" s="29"/>
      <c r="T8" s="26"/>
      <c r="U8" s="33"/>
    </row>
    <row r="9" spans="2:21" ht="22.5">
      <c r="B9" s="50">
        <f>GETPIVOTDATA("Units Sold",'PIVOT TABLE'!$D$6)</f>
        <v>511092</v>
      </c>
      <c r="C9" s="51"/>
      <c r="D9" s="30"/>
      <c r="E9" s="25"/>
      <c r="F9" s="25"/>
      <c r="G9" s="25"/>
      <c r="H9" s="25"/>
      <c r="I9" s="25"/>
      <c r="J9" s="25"/>
      <c r="K9" s="25"/>
      <c r="L9" s="25"/>
      <c r="M9" s="25"/>
      <c r="N9" s="25"/>
      <c r="O9" s="25"/>
      <c r="P9" s="25"/>
      <c r="Q9" s="29"/>
      <c r="R9" s="29"/>
      <c r="S9" s="29"/>
      <c r="T9" s="26"/>
      <c r="U9" s="33"/>
    </row>
    <row r="10" spans="2:21">
      <c r="B10" s="31"/>
      <c r="C10" s="25"/>
      <c r="D10" s="25"/>
      <c r="E10" s="25"/>
      <c r="F10" s="25"/>
      <c r="G10" s="25"/>
      <c r="H10" s="25"/>
      <c r="I10" s="25"/>
      <c r="J10" s="25"/>
      <c r="K10" s="25"/>
      <c r="L10" s="25"/>
      <c r="M10" s="25"/>
      <c r="N10" s="25"/>
      <c r="O10" s="25"/>
      <c r="P10" s="25"/>
      <c r="Q10" s="29"/>
      <c r="R10" s="29"/>
      <c r="S10" s="29"/>
      <c r="T10" s="26"/>
      <c r="U10" s="33"/>
    </row>
    <row r="11" spans="2:21" ht="20">
      <c r="B11" s="44" t="s">
        <v>129</v>
      </c>
      <c r="C11" s="45"/>
      <c r="D11" s="32"/>
      <c r="E11" s="25"/>
      <c r="F11" s="25"/>
      <c r="G11" s="25"/>
      <c r="H11" s="25"/>
      <c r="I11" s="25"/>
      <c r="J11" s="25"/>
      <c r="K11" s="25"/>
      <c r="L11" s="25"/>
      <c r="M11" s="25"/>
      <c r="N11" s="25"/>
      <c r="O11" s="25"/>
      <c r="P11" s="25"/>
      <c r="Q11" s="29"/>
      <c r="R11" s="29"/>
      <c r="S11" s="29"/>
      <c r="T11" s="26"/>
      <c r="U11" s="33"/>
    </row>
    <row r="12" spans="2:21" ht="20">
      <c r="B12" s="44"/>
      <c r="C12" s="45"/>
      <c r="D12" s="32"/>
      <c r="E12" s="25"/>
      <c r="F12" s="25"/>
      <c r="G12" s="25"/>
      <c r="H12" s="25"/>
      <c r="I12" s="25"/>
      <c r="J12" s="25"/>
      <c r="K12" s="25"/>
      <c r="L12" s="25"/>
      <c r="M12" s="25"/>
      <c r="N12" s="25"/>
      <c r="O12" s="25"/>
      <c r="P12" s="25"/>
      <c r="Q12" s="29"/>
      <c r="R12" s="29"/>
      <c r="S12" s="29"/>
      <c r="T12" s="26"/>
      <c r="U12" s="33"/>
    </row>
    <row r="13" spans="2:21" ht="22.5">
      <c r="B13" s="46">
        <f>GETPIVOTDATA("Total Cost",'PIVOT TABLE'!$A$13)</f>
        <v>90157581</v>
      </c>
      <c r="C13" s="47"/>
      <c r="D13" s="28"/>
      <c r="E13" s="25"/>
      <c r="F13" s="25"/>
      <c r="G13" s="25"/>
      <c r="H13" s="25"/>
      <c r="I13" s="25"/>
      <c r="J13" s="25"/>
      <c r="K13" s="25"/>
      <c r="L13" s="25"/>
      <c r="M13" s="25"/>
      <c r="N13" s="25"/>
      <c r="O13" s="25"/>
      <c r="P13" s="25"/>
      <c r="Q13" s="29"/>
      <c r="R13" s="29"/>
      <c r="S13" s="29"/>
      <c r="T13" s="26"/>
      <c r="U13" s="33"/>
    </row>
    <row r="14" spans="2:21">
      <c r="B14" s="42"/>
      <c r="C14" s="43"/>
      <c r="D14" s="25"/>
      <c r="E14" s="25"/>
      <c r="F14" s="25"/>
      <c r="G14" s="25"/>
      <c r="H14" s="25"/>
      <c r="I14" s="25"/>
      <c r="J14" s="25"/>
      <c r="K14" s="25"/>
      <c r="L14" s="25"/>
      <c r="M14" s="25"/>
      <c r="N14" s="25"/>
      <c r="O14" s="25"/>
      <c r="P14" s="25"/>
      <c r="Q14" s="29"/>
      <c r="R14" s="29"/>
      <c r="S14" s="29"/>
      <c r="T14" s="26"/>
      <c r="U14" s="33"/>
    </row>
    <row r="15" spans="2:21">
      <c r="B15" s="42"/>
      <c r="C15" s="43"/>
      <c r="D15" s="25"/>
      <c r="E15" s="25"/>
      <c r="F15" s="25"/>
      <c r="G15" s="25"/>
      <c r="H15" s="25"/>
      <c r="I15" s="25"/>
      <c r="J15" s="25"/>
      <c r="K15" s="25"/>
      <c r="L15" s="25"/>
      <c r="M15" s="25"/>
      <c r="N15" s="25"/>
      <c r="O15" s="25"/>
      <c r="P15" s="25"/>
      <c r="Q15" s="29"/>
      <c r="R15" s="29"/>
      <c r="S15" s="29"/>
      <c r="T15" s="26"/>
      <c r="U15" s="33"/>
    </row>
    <row r="16" spans="2:21">
      <c r="B16" s="42"/>
      <c r="C16" s="43"/>
      <c r="D16" s="25"/>
      <c r="E16" s="25"/>
      <c r="F16" s="25"/>
      <c r="G16" s="25"/>
      <c r="H16" s="25"/>
      <c r="I16" s="25"/>
      <c r="J16" s="25"/>
      <c r="K16" s="25"/>
      <c r="L16" s="25"/>
      <c r="M16" s="25"/>
      <c r="N16" s="25"/>
      <c r="O16" s="25"/>
      <c r="P16" s="25"/>
      <c r="Q16" s="25"/>
      <c r="R16" s="25"/>
      <c r="S16" s="25"/>
      <c r="T16" s="26"/>
      <c r="U16" s="33"/>
    </row>
    <row r="17" spans="2:21" ht="6" customHeight="1">
      <c r="B17" s="42"/>
      <c r="C17" s="43"/>
      <c r="D17" s="25"/>
      <c r="E17" s="25"/>
      <c r="F17" s="25"/>
      <c r="G17" s="25"/>
      <c r="H17" s="25"/>
      <c r="I17" s="25"/>
      <c r="J17" s="25"/>
      <c r="K17" s="25"/>
      <c r="L17" s="25"/>
      <c r="M17" s="25"/>
      <c r="N17" s="25"/>
      <c r="O17" s="25"/>
      <c r="P17" s="25"/>
      <c r="Q17" s="25"/>
      <c r="R17" s="25"/>
      <c r="S17" s="25"/>
      <c r="T17" s="26"/>
      <c r="U17" s="33"/>
    </row>
    <row r="18" spans="2:21">
      <c r="B18" s="42"/>
      <c r="C18" s="43"/>
      <c r="D18" s="25"/>
      <c r="E18" s="25"/>
      <c r="F18" s="25"/>
      <c r="G18" s="25"/>
      <c r="H18" s="29"/>
      <c r="I18" s="25"/>
      <c r="J18" s="25"/>
      <c r="K18" s="25"/>
      <c r="L18" s="25"/>
      <c r="M18" s="25"/>
      <c r="N18" s="25"/>
      <c r="O18" s="25"/>
      <c r="P18" s="25"/>
      <c r="Q18" s="25"/>
      <c r="R18" s="25"/>
      <c r="S18" s="25"/>
      <c r="T18" s="26"/>
      <c r="U18" s="33"/>
    </row>
    <row r="19" spans="2:21">
      <c r="B19" s="42"/>
      <c r="C19" s="43"/>
      <c r="D19" s="25"/>
      <c r="E19" s="25"/>
      <c r="F19" s="25"/>
      <c r="G19" s="25"/>
      <c r="H19" s="29"/>
      <c r="I19" s="25"/>
      <c r="J19" s="25"/>
      <c r="K19" s="25"/>
      <c r="L19" s="25"/>
      <c r="M19" s="25"/>
      <c r="N19" s="25"/>
      <c r="O19" s="25"/>
      <c r="P19" s="25"/>
      <c r="Q19" s="25"/>
      <c r="R19" s="25"/>
      <c r="S19" s="25"/>
      <c r="T19" s="26"/>
      <c r="U19" s="33"/>
    </row>
    <row r="20" spans="2:21">
      <c r="B20" s="42"/>
      <c r="C20" s="43"/>
      <c r="D20" s="25"/>
      <c r="E20" s="25"/>
      <c r="F20" s="25"/>
      <c r="G20" s="25"/>
      <c r="H20" s="29"/>
      <c r="I20" s="25"/>
      <c r="J20" s="25"/>
      <c r="K20" s="25"/>
      <c r="L20" s="25"/>
      <c r="M20" s="25"/>
      <c r="N20" s="25"/>
      <c r="O20" s="25"/>
      <c r="P20" s="25"/>
      <c r="Q20" s="25"/>
      <c r="R20" s="25"/>
      <c r="S20" s="25"/>
      <c r="T20" s="26"/>
      <c r="U20" s="33"/>
    </row>
    <row r="21" spans="2:21">
      <c r="B21" s="42"/>
      <c r="C21" s="43"/>
      <c r="D21" s="25"/>
      <c r="E21" s="25"/>
      <c r="F21" s="25"/>
      <c r="G21" s="25"/>
      <c r="H21" s="29"/>
      <c r="I21" s="25"/>
      <c r="J21" s="25"/>
      <c r="K21" s="25"/>
      <c r="L21" s="25"/>
      <c r="M21" s="25"/>
      <c r="N21" s="25"/>
      <c r="O21" s="25"/>
      <c r="P21" s="25"/>
      <c r="Q21" s="25"/>
      <c r="R21" s="25"/>
      <c r="S21" s="25"/>
      <c r="T21" s="26"/>
      <c r="U21" s="33"/>
    </row>
    <row r="22" spans="2:21">
      <c r="B22" s="42"/>
      <c r="C22" s="43"/>
      <c r="D22" s="25"/>
      <c r="E22" s="25"/>
      <c r="F22" s="25"/>
      <c r="G22" s="25"/>
      <c r="H22" s="29"/>
      <c r="I22" s="25"/>
      <c r="J22" s="25"/>
      <c r="K22" s="25"/>
      <c r="L22" s="25"/>
      <c r="M22" s="25"/>
      <c r="N22" s="25"/>
      <c r="O22" s="25"/>
      <c r="P22" s="25"/>
      <c r="Q22" s="25"/>
      <c r="R22" s="25"/>
      <c r="S22" s="25"/>
      <c r="T22" s="26"/>
      <c r="U22" s="33"/>
    </row>
    <row r="23" spans="2:21">
      <c r="B23" s="42"/>
      <c r="C23" s="43"/>
      <c r="D23" s="25"/>
      <c r="E23" s="25"/>
      <c r="F23" s="25"/>
      <c r="G23" s="25"/>
      <c r="H23" s="29"/>
      <c r="I23" s="25"/>
      <c r="J23" s="25"/>
      <c r="K23" s="25"/>
      <c r="L23" s="25"/>
      <c r="M23" s="25"/>
      <c r="N23" s="25"/>
      <c r="O23" s="25"/>
      <c r="P23" s="25"/>
      <c r="Q23" s="25"/>
      <c r="R23" s="25"/>
      <c r="S23" s="25"/>
      <c r="T23" s="26"/>
      <c r="U23" s="33"/>
    </row>
    <row r="24" spans="2:21">
      <c r="B24" s="42"/>
      <c r="C24" s="43"/>
      <c r="D24" s="25"/>
      <c r="E24" s="25"/>
      <c r="F24" s="25"/>
      <c r="G24" s="25"/>
      <c r="H24" s="29"/>
      <c r="I24" s="25"/>
      <c r="J24" s="25"/>
      <c r="K24" s="25"/>
      <c r="L24" s="25"/>
      <c r="M24" s="25"/>
      <c r="N24" s="25"/>
      <c r="O24" s="25"/>
      <c r="P24" s="25"/>
      <c r="Q24" s="25"/>
      <c r="R24" s="25"/>
      <c r="S24" s="25"/>
      <c r="T24" s="26"/>
      <c r="U24" s="33"/>
    </row>
    <row r="25" spans="2:21">
      <c r="B25" s="42"/>
      <c r="C25" s="43"/>
      <c r="D25" s="25"/>
      <c r="E25" s="25"/>
      <c r="F25" s="25"/>
      <c r="G25" s="25"/>
      <c r="H25" s="29"/>
      <c r="I25" s="25"/>
      <c r="J25" s="25"/>
      <c r="K25" s="25"/>
      <c r="L25" s="25"/>
      <c r="M25" s="25"/>
      <c r="N25" s="25"/>
      <c r="O25" s="25"/>
      <c r="P25" s="25"/>
      <c r="Q25" s="25"/>
      <c r="R25" s="25"/>
      <c r="S25" s="25"/>
      <c r="T25" s="26"/>
      <c r="U25" s="33"/>
    </row>
    <row r="26" spans="2:21">
      <c r="B26" s="42"/>
      <c r="C26" s="43"/>
      <c r="D26" s="25"/>
      <c r="E26" s="25"/>
      <c r="F26" s="25"/>
      <c r="G26" s="25"/>
      <c r="H26" s="29"/>
      <c r="I26" s="25"/>
      <c r="J26" s="25"/>
      <c r="K26" s="25"/>
      <c r="L26" s="25"/>
      <c r="M26" s="25"/>
      <c r="N26" s="25"/>
      <c r="O26" s="25"/>
      <c r="P26" s="25"/>
      <c r="Q26" s="25"/>
      <c r="R26" s="25"/>
      <c r="S26" s="25"/>
      <c r="T26" s="26"/>
      <c r="U26" s="33"/>
    </row>
    <row r="27" spans="2:21">
      <c r="B27" s="42"/>
      <c r="C27" s="43"/>
      <c r="D27" s="25"/>
      <c r="E27" s="25"/>
      <c r="F27" s="25"/>
      <c r="G27" s="25"/>
      <c r="H27" s="29"/>
      <c r="I27" s="25"/>
      <c r="J27" s="25"/>
      <c r="K27" s="25"/>
      <c r="L27" s="25"/>
      <c r="M27" s="25"/>
      <c r="N27" s="25"/>
      <c r="O27" s="25"/>
      <c r="P27" s="25"/>
      <c r="Q27" s="25"/>
      <c r="R27" s="25"/>
      <c r="S27" s="25"/>
      <c r="T27" s="26"/>
      <c r="U27" s="33"/>
    </row>
    <row r="28" spans="2:21">
      <c r="B28" s="42"/>
      <c r="C28" s="43"/>
      <c r="D28" s="25"/>
      <c r="E28" s="25"/>
      <c r="F28" s="25"/>
      <c r="G28" s="25"/>
      <c r="H28" s="29"/>
      <c r="I28" s="25"/>
      <c r="J28" s="25"/>
      <c r="K28" s="25"/>
      <c r="L28" s="25"/>
      <c r="M28" s="25"/>
      <c r="N28" s="25"/>
      <c r="O28" s="25"/>
      <c r="P28" s="25"/>
      <c r="Q28" s="25"/>
      <c r="R28" s="25"/>
      <c r="S28" s="25"/>
      <c r="T28" s="26"/>
      <c r="U28" s="33"/>
    </row>
    <row r="29" spans="2:21">
      <c r="B29" s="42"/>
      <c r="C29" s="43"/>
      <c r="D29" s="25"/>
      <c r="E29" s="25"/>
      <c r="F29" s="25"/>
      <c r="G29" s="25"/>
      <c r="H29" s="25"/>
      <c r="I29" s="25"/>
      <c r="J29" s="25"/>
      <c r="K29" s="25"/>
      <c r="L29" s="25"/>
      <c r="M29" s="25"/>
      <c r="N29" s="25"/>
      <c r="O29" s="25"/>
      <c r="P29" s="25"/>
      <c r="Q29" s="25"/>
      <c r="R29" s="25"/>
      <c r="S29" s="25"/>
      <c r="T29" s="26"/>
      <c r="U29" s="33"/>
    </row>
    <row r="30" spans="2:21">
      <c r="B30" s="34"/>
      <c r="C30" s="35"/>
      <c r="D30" s="35"/>
      <c r="E30" s="35"/>
      <c r="F30" s="35"/>
      <c r="G30" s="35"/>
      <c r="H30" s="35"/>
      <c r="I30" s="35"/>
      <c r="J30" s="35"/>
      <c r="K30" s="35"/>
      <c r="L30" s="35"/>
      <c r="M30" s="35"/>
      <c r="N30" s="35"/>
      <c r="O30" s="35"/>
      <c r="P30" s="35"/>
      <c r="Q30" s="35"/>
      <c r="R30" s="35"/>
      <c r="S30" s="35"/>
      <c r="T30" s="36"/>
      <c r="U30" s="33"/>
    </row>
    <row r="31" spans="2:21" ht="15" thickBot="1">
      <c r="B31" s="37"/>
      <c r="C31" s="38"/>
      <c r="D31" s="38"/>
      <c r="E31" s="38"/>
      <c r="F31" s="38"/>
      <c r="G31" s="38"/>
      <c r="H31" s="38"/>
      <c r="I31" s="38"/>
      <c r="J31" s="38"/>
      <c r="K31" s="38"/>
      <c r="L31" s="38"/>
      <c r="M31" s="38"/>
      <c r="N31" s="38"/>
      <c r="O31" s="38"/>
      <c r="P31" s="38"/>
      <c r="Q31" s="38"/>
      <c r="R31" s="38"/>
      <c r="S31" s="38"/>
      <c r="T31" s="39"/>
      <c r="U31" s="33"/>
    </row>
  </sheetData>
  <mergeCells count="15">
    <mergeCell ref="B2:T2"/>
    <mergeCell ref="Q4:S5"/>
    <mergeCell ref="Q6:S6"/>
    <mergeCell ref="B7:C8"/>
    <mergeCell ref="B9:C9"/>
    <mergeCell ref="M4:O5"/>
    <mergeCell ref="M6:O6"/>
    <mergeCell ref="B3:C6"/>
    <mergeCell ref="B14:C29"/>
    <mergeCell ref="B11:C12"/>
    <mergeCell ref="B13:C13"/>
    <mergeCell ref="E4:G5"/>
    <mergeCell ref="I4:K5"/>
    <mergeCell ref="E6:G6"/>
    <mergeCell ref="I6:K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1"/>
  <sheetViews>
    <sheetView topLeftCell="A20" zoomScale="127" zoomScaleNormal="127" workbookViewId="0">
      <selection activeCell="P101" sqref="P101"/>
    </sheetView>
  </sheetViews>
  <sheetFormatPr defaultColWidth="9" defaultRowHeight="14.5"/>
  <cols>
    <col min="1" max="1" width="32.453125" bestFit="1" customWidth="1"/>
    <col min="2" max="2" width="31.54296875" bestFit="1" customWidth="1"/>
    <col min="3" max="3" width="14.54296875" bestFit="1" customWidth="1"/>
    <col min="4" max="4" width="14.7265625" customWidth="1"/>
    <col min="5" max="5" width="15.54296875" bestFit="1" customWidth="1"/>
    <col min="6" max="7" width="12.7265625" style="2" customWidth="1"/>
    <col min="8" max="8" width="11.81640625" bestFit="1" customWidth="1"/>
    <col min="9" max="9" width="11.54296875" style="2" customWidth="1"/>
    <col min="10" max="10" width="11.26953125" customWidth="1"/>
    <col min="11" max="11" width="10.81640625" style="6" customWidth="1"/>
    <col min="12" max="14" width="15" style="6" bestFit="1" customWidth="1"/>
    <col min="15" max="15" width="15.1796875" style="6" bestFit="1" customWidth="1"/>
    <col min="16" max="16" width="13.453125" bestFit="1" customWidth="1"/>
    <col min="17" max="17" width="11.54296875" bestFit="1" customWidth="1"/>
  </cols>
  <sheetData>
    <row r="1" spans="1:17">
      <c r="A1" s="1" t="s">
        <v>0</v>
      </c>
      <c r="B1" s="1" t="s">
        <v>1</v>
      </c>
      <c r="C1" s="1" t="s">
        <v>2</v>
      </c>
      <c r="D1" s="1" t="s">
        <v>3</v>
      </c>
      <c r="E1" s="1" t="s">
        <v>4</v>
      </c>
      <c r="F1" s="12" t="s">
        <v>5</v>
      </c>
      <c r="G1" s="16" t="s">
        <v>113</v>
      </c>
      <c r="H1" s="1" t="s">
        <v>6</v>
      </c>
      <c r="I1" s="12" t="s">
        <v>7</v>
      </c>
      <c r="J1" s="1" t="s">
        <v>8</v>
      </c>
      <c r="K1" s="1" t="s">
        <v>9</v>
      </c>
      <c r="L1" s="4" t="s">
        <v>10</v>
      </c>
      <c r="M1" s="7" t="s">
        <v>107</v>
      </c>
      <c r="N1" s="7" t="s">
        <v>108</v>
      </c>
      <c r="O1" s="7" t="s">
        <v>110</v>
      </c>
      <c r="P1" s="7" t="s">
        <v>109</v>
      </c>
      <c r="Q1" s="15" t="s">
        <v>114</v>
      </c>
    </row>
    <row r="2" spans="1:17">
      <c r="A2" t="s">
        <v>11</v>
      </c>
      <c r="B2" t="s">
        <v>12</v>
      </c>
      <c r="C2" t="s">
        <v>13</v>
      </c>
      <c r="D2" t="s">
        <v>14</v>
      </c>
      <c r="E2" t="s">
        <v>15</v>
      </c>
      <c r="F2" s="2">
        <v>40326</v>
      </c>
      <c r="G2" s="11">
        <f>YEAR(Table2[[#This Row],[Order Date]])</f>
        <v>2010</v>
      </c>
      <c r="H2">
        <v>669165933</v>
      </c>
      <c r="I2" s="2">
        <v>40356</v>
      </c>
      <c r="J2" s="3">
        <v>9925</v>
      </c>
      <c r="K2" s="5">
        <v>255</v>
      </c>
      <c r="L2" s="5">
        <v>159</v>
      </c>
      <c r="M2" s="8">
        <f>Table2[[#This Row],[Units Sold]]*Table2[[#This Row],[Unit Price]]</f>
        <v>2530875</v>
      </c>
      <c r="N2" s="8">
        <f>Table2[[#This Row],[Unit Cost]]*Table2[[#This Row],[Units Sold]]</f>
        <v>1578075</v>
      </c>
      <c r="O2" s="8">
        <f>Table2[[#This Row],[Total Revenue]]-Table2[[#This Row],[Total Cost]]</f>
        <v>952800</v>
      </c>
      <c r="P2" s="8">
        <f>Table2[[#This Row],[Gross Profit]]*0.95</f>
        <v>905160</v>
      </c>
      <c r="Q2" s="17">
        <f>AVERAGE(Table2[Net Profit])</f>
        <v>440911.93686868693</v>
      </c>
    </row>
    <row r="3" spans="1:17">
      <c r="A3" t="s">
        <v>16</v>
      </c>
      <c r="B3" t="s">
        <v>111</v>
      </c>
      <c r="C3" t="s">
        <v>17</v>
      </c>
      <c r="D3" t="s">
        <v>18</v>
      </c>
      <c r="E3" t="s">
        <v>19</v>
      </c>
      <c r="F3" s="2">
        <v>41143</v>
      </c>
      <c r="G3" s="11">
        <f>YEAR(Table2[[#This Row],[Order Date]])</f>
        <v>2012</v>
      </c>
      <c r="H3">
        <v>963881480</v>
      </c>
      <c r="I3" s="2">
        <v>41167</v>
      </c>
      <c r="J3" s="3">
        <v>2804</v>
      </c>
      <c r="K3" s="5">
        <v>206</v>
      </c>
      <c r="L3" s="5">
        <v>117</v>
      </c>
      <c r="M3" s="8">
        <f>Table2[[#This Row],[Units Sold]]*Table2[[#This Row],[Unit Price]]</f>
        <v>577624</v>
      </c>
      <c r="N3" s="8">
        <f>Table2[[#This Row],[Unit Cost]]*Table2[[#This Row],[Units Sold]]</f>
        <v>328068</v>
      </c>
      <c r="O3" s="8">
        <f>Table2[[#This Row],[Total Revenue]]-Table2[[#This Row],[Total Cost]]</f>
        <v>249556</v>
      </c>
      <c r="P3" s="8">
        <f>Table2[[#This Row],[Gross Profit]]*0.95</f>
        <v>237078.19999999998</v>
      </c>
      <c r="Q3" s="14"/>
    </row>
    <row r="4" spans="1:17">
      <c r="A4" t="s">
        <v>21</v>
      </c>
      <c r="B4" t="s">
        <v>22</v>
      </c>
      <c r="C4" t="s">
        <v>23</v>
      </c>
      <c r="D4" t="s">
        <v>18</v>
      </c>
      <c r="E4" t="s">
        <v>19</v>
      </c>
      <c r="F4" s="2">
        <v>41810</v>
      </c>
      <c r="G4" s="11">
        <f>YEAR(Table2[[#This Row],[Order Date]])</f>
        <v>2014</v>
      </c>
      <c r="H4">
        <v>514321792</v>
      </c>
      <c r="I4" s="2">
        <v>41766</v>
      </c>
      <c r="J4" s="3">
        <v>8102</v>
      </c>
      <c r="K4" s="5">
        <v>9</v>
      </c>
      <c r="L4" s="5">
        <v>7</v>
      </c>
      <c r="M4" s="8">
        <f>Table2[[#This Row],[Units Sold]]*Table2[[#This Row],[Unit Price]]</f>
        <v>72918</v>
      </c>
      <c r="N4" s="8">
        <f>Table2[[#This Row],[Unit Cost]]*Table2[[#This Row],[Units Sold]]</f>
        <v>56714</v>
      </c>
      <c r="O4" s="8">
        <f>Table2[[#This Row],[Total Revenue]]-Table2[[#This Row],[Total Cost]]</f>
        <v>16204</v>
      </c>
      <c r="P4" s="8">
        <f>Table2[[#This Row],[Gross Profit]]*0.95</f>
        <v>15393.8</v>
      </c>
      <c r="Q4" s="14"/>
    </row>
    <row r="5" spans="1:17">
      <c r="A5" t="s">
        <v>21</v>
      </c>
      <c r="B5" t="s">
        <v>24</v>
      </c>
      <c r="C5" t="s">
        <v>25</v>
      </c>
      <c r="D5" t="s">
        <v>14</v>
      </c>
      <c r="E5" t="s">
        <v>26</v>
      </c>
      <c r="F5" s="2">
        <v>41306</v>
      </c>
      <c r="G5" s="11">
        <f>YEAR(Table2[[#This Row],[Order Date]])</f>
        <v>2013</v>
      </c>
      <c r="H5">
        <v>115456712</v>
      </c>
      <c r="I5" s="2">
        <v>41427</v>
      </c>
      <c r="J5" s="3">
        <v>5062</v>
      </c>
      <c r="K5" s="5">
        <v>651</v>
      </c>
      <c r="L5" s="5">
        <v>525</v>
      </c>
      <c r="M5" s="8">
        <f>Table2[[#This Row],[Units Sold]]*Table2[[#This Row],[Unit Price]]</f>
        <v>3295362</v>
      </c>
      <c r="N5" s="8">
        <f>Table2[[#This Row],[Unit Cost]]*Table2[[#This Row],[Units Sold]]</f>
        <v>2657550</v>
      </c>
      <c r="O5" s="8">
        <f>Table2[[#This Row],[Total Revenue]]-Table2[[#This Row],[Total Cost]]</f>
        <v>637812</v>
      </c>
      <c r="P5" s="8">
        <f>Table2[[#This Row],[Gross Profit]]*0.95</f>
        <v>605921.4</v>
      </c>
      <c r="Q5" s="14"/>
    </row>
    <row r="6" spans="1:17">
      <c r="A6" t="s">
        <v>11</v>
      </c>
      <c r="B6" t="s">
        <v>27</v>
      </c>
      <c r="C6" t="s">
        <v>13</v>
      </c>
      <c r="D6" t="s">
        <v>18</v>
      </c>
      <c r="E6" t="s">
        <v>19</v>
      </c>
      <c r="F6" s="2">
        <v>42039</v>
      </c>
      <c r="G6" s="11">
        <f>YEAR(Table2[[#This Row],[Order Date]])</f>
        <v>2015</v>
      </c>
      <c r="H6">
        <v>547995746</v>
      </c>
      <c r="I6" s="2">
        <v>42056</v>
      </c>
      <c r="J6" s="3">
        <v>2974</v>
      </c>
      <c r="K6" s="5">
        <v>255</v>
      </c>
      <c r="L6" s="5">
        <v>159</v>
      </c>
      <c r="M6" s="8">
        <f>Table2[[#This Row],[Units Sold]]*Table2[[#This Row],[Unit Price]]</f>
        <v>758370</v>
      </c>
      <c r="N6" s="8">
        <f>Table2[[#This Row],[Unit Cost]]*Table2[[#This Row],[Units Sold]]</f>
        <v>472866</v>
      </c>
      <c r="O6" s="8">
        <f>Table2[[#This Row],[Total Revenue]]-Table2[[#This Row],[Total Cost]]</f>
        <v>285504</v>
      </c>
      <c r="P6" s="8">
        <f>Table2[[#This Row],[Gross Profit]]*0.95</f>
        <v>271228.79999999999</v>
      </c>
      <c r="Q6" s="14"/>
    </row>
    <row r="7" spans="1:17">
      <c r="A7" t="s">
        <v>21</v>
      </c>
      <c r="B7" t="s">
        <v>28</v>
      </c>
      <c r="C7" t="s">
        <v>29</v>
      </c>
      <c r="D7" t="s">
        <v>14</v>
      </c>
      <c r="E7" t="s">
        <v>30</v>
      </c>
      <c r="F7" s="2">
        <v>40656</v>
      </c>
      <c r="G7" s="11">
        <f>YEAR(Table2[[#This Row],[Order Date]])</f>
        <v>2011</v>
      </c>
      <c r="H7">
        <v>135425221</v>
      </c>
      <c r="I7" s="2">
        <v>40660</v>
      </c>
      <c r="J7" s="3">
        <v>4187</v>
      </c>
      <c r="K7" s="5">
        <v>668</v>
      </c>
      <c r="L7" s="5">
        <v>0</v>
      </c>
      <c r="M7" s="8">
        <f>Table2[[#This Row],[Units Sold]]*Table2[[#This Row],[Unit Price]]</f>
        <v>2796916</v>
      </c>
      <c r="N7" s="8">
        <f>Table2[[#This Row],[Unit Cost]]*Table2[[#This Row],[Units Sold]]</f>
        <v>0</v>
      </c>
      <c r="O7" s="8">
        <f>Table2[[#This Row],[Total Revenue]]-Table2[[#This Row],[Total Cost]]</f>
        <v>2796916</v>
      </c>
      <c r="P7" s="8">
        <f>Table2[[#This Row],[Gross Profit]]*0.95</f>
        <v>2657070.1999999997</v>
      </c>
      <c r="Q7" s="14"/>
    </row>
    <row r="8" spans="1:17">
      <c r="A8" t="s">
        <v>21</v>
      </c>
      <c r="B8" s="13" t="s">
        <v>115</v>
      </c>
      <c r="C8" t="s">
        <v>31</v>
      </c>
      <c r="D8" t="s">
        <v>18</v>
      </c>
      <c r="E8" t="s">
        <v>15</v>
      </c>
      <c r="F8" s="2">
        <v>41107</v>
      </c>
      <c r="G8" s="11">
        <f>YEAR(Table2[[#This Row],[Order Date]])</f>
        <v>2012</v>
      </c>
      <c r="H8">
        <v>871543967</v>
      </c>
      <c r="I8" s="2">
        <v>41117</v>
      </c>
      <c r="J8" s="3">
        <v>8082</v>
      </c>
      <c r="K8" s="5">
        <v>154</v>
      </c>
      <c r="L8" s="5">
        <v>91</v>
      </c>
      <c r="M8" s="8">
        <f>Table2[[#This Row],[Units Sold]]*Table2[[#This Row],[Unit Price]]</f>
        <v>1244628</v>
      </c>
      <c r="N8" s="8">
        <f>Table2[[#This Row],[Unit Cost]]*Table2[[#This Row],[Units Sold]]</f>
        <v>735462</v>
      </c>
      <c r="O8" s="8">
        <f>Table2[[#This Row],[Total Revenue]]-Table2[[#This Row],[Total Cost]]</f>
        <v>509166</v>
      </c>
      <c r="P8" s="8">
        <f>Table2[[#This Row],[Gross Profit]]*0.95</f>
        <v>483707.69999999995</v>
      </c>
      <c r="Q8" s="14"/>
    </row>
    <row r="9" spans="1:17">
      <c r="A9" t="s">
        <v>21</v>
      </c>
      <c r="B9" t="s">
        <v>32</v>
      </c>
      <c r="C9" t="s">
        <v>33</v>
      </c>
      <c r="D9" t="s">
        <v>14</v>
      </c>
      <c r="E9" t="s">
        <v>30</v>
      </c>
      <c r="F9" s="2">
        <v>42199</v>
      </c>
      <c r="G9" s="11">
        <f>YEAR(Table2[[#This Row],[Order Date]])</f>
        <v>2015</v>
      </c>
      <c r="H9">
        <v>770463311</v>
      </c>
      <c r="I9" s="2">
        <v>42241</v>
      </c>
      <c r="J9" s="3">
        <v>6070</v>
      </c>
      <c r="K9" s="5">
        <v>82</v>
      </c>
      <c r="L9" s="5">
        <v>57</v>
      </c>
      <c r="M9" s="8">
        <f>Table2[[#This Row],[Units Sold]]*Table2[[#This Row],[Unit Price]]</f>
        <v>497740</v>
      </c>
      <c r="N9" s="8">
        <f>Table2[[#This Row],[Unit Cost]]*Table2[[#This Row],[Units Sold]]</f>
        <v>345990</v>
      </c>
      <c r="O9" s="8">
        <f>Table2[[#This Row],[Total Revenue]]-Table2[[#This Row],[Total Cost]]</f>
        <v>151750</v>
      </c>
      <c r="P9" s="8">
        <f>Table2[[#This Row],[Gross Profit]]*0.95</f>
        <v>144162.5</v>
      </c>
      <c r="Q9" s="14"/>
    </row>
    <row r="10" spans="1:17">
      <c r="A10" t="s">
        <v>21</v>
      </c>
      <c r="B10" t="s">
        <v>34</v>
      </c>
      <c r="C10" t="s">
        <v>17</v>
      </c>
      <c r="D10" t="s">
        <v>18</v>
      </c>
      <c r="E10" t="s">
        <v>15</v>
      </c>
      <c r="F10" s="2">
        <v>41747</v>
      </c>
      <c r="G10" s="11">
        <f>YEAR(Table2[[#This Row],[Order Date]])</f>
        <v>2014</v>
      </c>
      <c r="H10">
        <v>616607081</v>
      </c>
      <c r="I10" s="2">
        <v>41789</v>
      </c>
      <c r="J10" s="3">
        <v>6593</v>
      </c>
      <c r="K10" s="5">
        <v>206</v>
      </c>
      <c r="L10" s="5">
        <v>117</v>
      </c>
      <c r="M10" s="8">
        <f>Table2[[#This Row],[Units Sold]]*Table2[[#This Row],[Unit Price]]</f>
        <v>1358158</v>
      </c>
      <c r="N10" s="8">
        <f>Table2[[#This Row],[Unit Cost]]*Table2[[#This Row],[Units Sold]]</f>
        <v>771381</v>
      </c>
      <c r="O10" s="8">
        <f>Table2[[#This Row],[Total Revenue]]-Table2[[#This Row],[Total Cost]]</f>
        <v>586777</v>
      </c>
      <c r="P10" s="8">
        <f>Table2[[#This Row],[Gross Profit]]*0.95</f>
        <v>557438.15</v>
      </c>
      <c r="Q10" s="14"/>
    </row>
    <row r="11" spans="1:17">
      <c r="A11" t="s">
        <v>35</v>
      </c>
      <c r="B11" t="s">
        <v>36</v>
      </c>
      <c r="C11" t="s">
        <v>31</v>
      </c>
      <c r="D11" t="s">
        <v>18</v>
      </c>
      <c r="E11" t="s">
        <v>15</v>
      </c>
      <c r="F11" s="2">
        <v>40718</v>
      </c>
      <c r="G11" s="11">
        <f>YEAR(Table2[[#This Row],[Order Date]])</f>
        <v>2011</v>
      </c>
      <c r="H11">
        <v>814711606</v>
      </c>
      <c r="I11" s="2">
        <v>40884</v>
      </c>
      <c r="J11" s="3">
        <v>124</v>
      </c>
      <c r="K11" s="5">
        <v>154</v>
      </c>
      <c r="L11" s="5">
        <v>91</v>
      </c>
      <c r="M11" s="8">
        <f>Table2[[#This Row],[Units Sold]]*Table2[[#This Row],[Unit Price]]</f>
        <v>19096</v>
      </c>
      <c r="N11" s="8">
        <f>Table2[[#This Row],[Unit Cost]]*Table2[[#This Row],[Units Sold]]</f>
        <v>11284</v>
      </c>
      <c r="O11" s="8">
        <f>Table2[[#This Row],[Total Revenue]]-Table2[[#This Row],[Total Cost]]</f>
        <v>7812</v>
      </c>
      <c r="P11" s="8">
        <f>Table2[[#This Row],[Gross Profit]]*0.95</f>
        <v>7421.4</v>
      </c>
      <c r="Q11" s="14"/>
    </row>
    <row r="12" spans="1:17">
      <c r="A12" t="s">
        <v>21</v>
      </c>
      <c r="B12" t="s">
        <v>37</v>
      </c>
      <c r="C12" t="s">
        <v>38</v>
      </c>
      <c r="D12" t="s">
        <v>14</v>
      </c>
      <c r="E12" t="s">
        <v>15</v>
      </c>
      <c r="F12" s="2">
        <v>41853</v>
      </c>
      <c r="G12" s="11">
        <f>YEAR(Table2[[#This Row],[Order Date]])</f>
        <v>2014</v>
      </c>
      <c r="H12">
        <v>939825713</v>
      </c>
      <c r="I12" s="2">
        <v>41870</v>
      </c>
      <c r="J12" s="3">
        <v>4168</v>
      </c>
      <c r="K12" s="5">
        <v>109</v>
      </c>
      <c r="L12" s="5">
        <v>36</v>
      </c>
      <c r="M12" s="8">
        <f>Table2[[#This Row],[Units Sold]]*Table2[[#This Row],[Unit Price]]</f>
        <v>454312</v>
      </c>
      <c r="N12" s="8">
        <f>Table2[[#This Row],[Unit Cost]]*Table2[[#This Row],[Units Sold]]</f>
        <v>150048</v>
      </c>
      <c r="O12" s="8">
        <f>Table2[[#This Row],[Total Revenue]]-Table2[[#This Row],[Total Cost]]</f>
        <v>304264</v>
      </c>
      <c r="P12" s="8">
        <f>Table2[[#This Row],[Gross Profit]]*0.95</f>
        <v>289050.8</v>
      </c>
      <c r="Q12" s="14"/>
    </row>
    <row r="13" spans="1:17">
      <c r="A13" t="s">
        <v>35</v>
      </c>
      <c r="B13" t="s">
        <v>39</v>
      </c>
      <c r="C13" t="s">
        <v>38</v>
      </c>
      <c r="D13" t="s">
        <v>18</v>
      </c>
      <c r="E13" t="s">
        <v>26</v>
      </c>
      <c r="F13" s="2">
        <v>42748</v>
      </c>
      <c r="G13" s="11">
        <f>YEAR(Table2[[#This Row],[Order Date]])</f>
        <v>2017</v>
      </c>
      <c r="H13">
        <v>187310731</v>
      </c>
      <c r="I13" s="2">
        <v>42738</v>
      </c>
      <c r="J13" s="3">
        <v>8263</v>
      </c>
      <c r="K13" s="5">
        <v>109</v>
      </c>
      <c r="L13" s="5">
        <v>36</v>
      </c>
      <c r="M13" s="8">
        <f>Table2[[#This Row],[Units Sold]]*Table2[[#This Row],[Unit Price]]</f>
        <v>900667</v>
      </c>
      <c r="N13" s="8">
        <f>Table2[[#This Row],[Unit Cost]]*Table2[[#This Row],[Units Sold]]</f>
        <v>297468</v>
      </c>
      <c r="O13" s="8">
        <f>Table2[[#This Row],[Total Revenue]]-Table2[[#This Row],[Total Cost]]</f>
        <v>603199</v>
      </c>
      <c r="P13" s="8">
        <f>Table2[[#This Row],[Gross Profit]]*0.95</f>
        <v>573039.04999999993</v>
      </c>
      <c r="Q13" s="14"/>
    </row>
    <row r="14" spans="1:17">
      <c r="A14" t="s">
        <v>16</v>
      </c>
      <c r="B14" t="s">
        <v>40</v>
      </c>
      <c r="C14" t="s">
        <v>29</v>
      </c>
      <c r="D14" t="s">
        <v>14</v>
      </c>
      <c r="E14" t="s">
        <v>15</v>
      </c>
      <c r="F14" s="2">
        <v>42774</v>
      </c>
      <c r="G14" s="11">
        <f>YEAR(Table2[[#This Row],[Order Date]])</f>
        <v>2017</v>
      </c>
      <c r="H14">
        <v>522840487</v>
      </c>
      <c r="I14" s="2">
        <v>42779</v>
      </c>
      <c r="J14" s="3">
        <v>8974</v>
      </c>
      <c r="K14" s="5">
        <v>668</v>
      </c>
      <c r="L14" s="5">
        <v>503</v>
      </c>
      <c r="M14" s="8">
        <f>Table2[[#This Row],[Units Sold]]*Table2[[#This Row],[Unit Price]]</f>
        <v>5994632</v>
      </c>
      <c r="N14" s="8">
        <f>Table2[[#This Row],[Unit Cost]]*Table2[[#This Row],[Units Sold]]</f>
        <v>4513922</v>
      </c>
      <c r="O14" s="8">
        <f>Table2[[#This Row],[Total Revenue]]-Table2[[#This Row],[Total Cost]]</f>
        <v>1480710</v>
      </c>
      <c r="P14" s="8">
        <f>Table2[[#This Row],[Gross Profit]]*0.95</f>
        <v>1406674.5</v>
      </c>
      <c r="Q14" s="14"/>
    </row>
    <row r="15" spans="1:17">
      <c r="A15" t="s">
        <v>35</v>
      </c>
      <c r="B15" t="s">
        <v>41</v>
      </c>
      <c r="C15" s="13" t="s">
        <v>33</v>
      </c>
      <c r="D15" t="s">
        <v>14</v>
      </c>
      <c r="E15" t="s">
        <v>19</v>
      </c>
      <c r="F15" s="2">
        <v>41689</v>
      </c>
      <c r="G15" s="11">
        <f>YEAR(Table2[[#This Row],[Order Date]])</f>
        <v>2014</v>
      </c>
      <c r="H15">
        <v>832401311</v>
      </c>
      <c r="I15" s="2">
        <v>41693</v>
      </c>
      <c r="J15" s="3">
        <v>4901</v>
      </c>
      <c r="K15" s="5">
        <v>82</v>
      </c>
      <c r="L15" s="5">
        <v>57</v>
      </c>
      <c r="M15" s="8">
        <f>Table2[[#This Row],[Units Sold]]*Table2[[#This Row],[Unit Price]]</f>
        <v>401882</v>
      </c>
      <c r="N15" s="8">
        <f>Table2[[#This Row],[Unit Cost]]*Table2[[#This Row],[Units Sold]]</f>
        <v>279357</v>
      </c>
      <c r="O15" s="8">
        <f>Table2[[#This Row],[Total Revenue]]-Table2[[#This Row],[Total Cost]]</f>
        <v>122525</v>
      </c>
      <c r="P15" s="8">
        <f>Table2[[#This Row],[Gross Profit]]*0.95</f>
        <v>116398.75</v>
      </c>
      <c r="Q15" s="14"/>
    </row>
    <row r="16" spans="1:17">
      <c r="A16" t="s">
        <v>20</v>
      </c>
      <c r="B16" t="s">
        <v>42</v>
      </c>
      <c r="C16" t="s">
        <v>38</v>
      </c>
      <c r="D16" t="s">
        <v>18</v>
      </c>
      <c r="E16" t="s">
        <v>30</v>
      </c>
      <c r="F16" s="2">
        <v>41022</v>
      </c>
      <c r="G16" s="11">
        <f>YEAR(Table2[[#This Row],[Order Date]])</f>
        <v>2012</v>
      </c>
      <c r="H16">
        <v>972292029</v>
      </c>
      <c r="I16" s="2">
        <v>40974</v>
      </c>
      <c r="J16" s="3">
        <v>1673</v>
      </c>
      <c r="K16" s="5">
        <v>109</v>
      </c>
      <c r="L16" s="5">
        <v>36</v>
      </c>
      <c r="M16" s="8">
        <f>Table2[[#This Row],[Units Sold]]*Table2[[#This Row],[Unit Price]]</f>
        <v>182357</v>
      </c>
      <c r="N16" s="8">
        <f>Table2[[#This Row],[Unit Cost]]*Table2[[#This Row],[Units Sold]]</f>
        <v>60228</v>
      </c>
      <c r="O16" s="8">
        <f>Table2[[#This Row],[Total Revenue]]-Table2[[#This Row],[Total Cost]]</f>
        <v>122129</v>
      </c>
      <c r="P16" s="8">
        <f>Table2[[#This Row],[Gross Profit]]*0.95</f>
        <v>116022.54999999999</v>
      </c>
      <c r="Q16" s="14"/>
    </row>
    <row r="17" spans="1:17">
      <c r="A17" t="s">
        <v>35</v>
      </c>
      <c r="B17" t="s">
        <v>43</v>
      </c>
      <c r="C17" t="s">
        <v>44</v>
      </c>
      <c r="D17" t="s">
        <v>14</v>
      </c>
      <c r="E17" t="s">
        <v>30</v>
      </c>
      <c r="F17" s="2">
        <v>42693</v>
      </c>
      <c r="G17" s="11">
        <f>YEAR(Table2[[#This Row],[Order Date]])</f>
        <v>2016</v>
      </c>
      <c r="H17">
        <v>419123971</v>
      </c>
      <c r="I17" s="2">
        <v>42722</v>
      </c>
      <c r="J17" s="3">
        <v>6952</v>
      </c>
      <c r="K17" s="5">
        <v>437</v>
      </c>
      <c r="L17" s="5">
        <v>263</v>
      </c>
      <c r="M17" s="8">
        <f>Table2[[#This Row],[Units Sold]]*Table2[[#This Row],[Unit Price]]</f>
        <v>3038024</v>
      </c>
      <c r="N17" s="8">
        <f>Table2[[#This Row],[Unit Cost]]*Table2[[#This Row],[Units Sold]]</f>
        <v>1828376</v>
      </c>
      <c r="O17" s="8">
        <f>Table2[[#This Row],[Total Revenue]]-Table2[[#This Row],[Total Cost]]</f>
        <v>1209648</v>
      </c>
      <c r="P17" s="8">
        <f>Table2[[#This Row],[Gross Profit]]*0.95</f>
        <v>1149165.5999999999</v>
      </c>
      <c r="Q17" s="14"/>
    </row>
    <row r="18" spans="1:17">
      <c r="A18" t="s">
        <v>21</v>
      </c>
      <c r="B18" t="s">
        <v>45</v>
      </c>
      <c r="C18" t="s">
        <v>46</v>
      </c>
      <c r="D18" t="s">
        <v>14</v>
      </c>
      <c r="E18" t="s">
        <v>19</v>
      </c>
      <c r="F18" s="2">
        <v>42095</v>
      </c>
      <c r="G18" s="11">
        <f>YEAR(Table2[[#This Row],[Order Date]])</f>
        <v>2015</v>
      </c>
      <c r="H18">
        <v>519820964</v>
      </c>
      <c r="I18" s="2">
        <v>42112</v>
      </c>
      <c r="J18" s="3">
        <v>5430</v>
      </c>
      <c r="K18" s="5">
        <v>47</v>
      </c>
      <c r="L18" s="5">
        <v>32</v>
      </c>
      <c r="M18" s="8">
        <f>Table2[[#This Row],[Units Sold]]*Table2[[#This Row],[Unit Price]]</f>
        <v>255210</v>
      </c>
      <c r="N18" s="8">
        <f>Table2[[#This Row],[Unit Cost]]*Table2[[#This Row],[Units Sold]]</f>
        <v>173760</v>
      </c>
      <c r="O18" s="8">
        <f>Table2[[#This Row],[Total Revenue]]-Table2[[#This Row],[Total Cost]]</f>
        <v>81450</v>
      </c>
      <c r="P18" s="8">
        <f>Table2[[#This Row],[Gross Profit]]*0.95</f>
        <v>77377.5</v>
      </c>
      <c r="Q18" s="14"/>
    </row>
    <row r="19" spans="1:17">
      <c r="A19" t="s">
        <v>35</v>
      </c>
      <c r="B19" t="s">
        <v>47</v>
      </c>
      <c r="C19" t="s">
        <v>29</v>
      </c>
      <c r="D19" t="s">
        <v>14</v>
      </c>
      <c r="E19" t="s">
        <v>26</v>
      </c>
      <c r="F19" s="2">
        <v>40542</v>
      </c>
      <c r="G19" s="11">
        <f>YEAR(Table2[[#This Row],[Order Date]])</f>
        <v>2010</v>
      </c>
      <c r="H19">
        <v>441619336</v>
      </c>
      <c r="I19" s="2">
        <v>40563</v>
      </c>
      <c r="J19" s="3">
        <v>3830</v>
      </c>
      <c r="K19" s="5">
        <v>668</v>
      </c>
      <c r="L19" s="5">
        <v>503</v>
      </c>
      <c r="M19" s="8">
        <f>Table2[[#This Row],[Units Sold]]*Table2[[#This Row],[Unit Price]]</f>
        <v>2558440</v>
      </c>
      <c r="N19" s="8">
        <f>Table2[[#This Row],[Unit Cost]]*Table2[[#This Row],[Units Sold]]</f>
        <v>1926490</v>
      </c>
      <c r="O19" s="8">
        <f>Table2[[#This Row],[Total Revenue]]-Table2[[#This Row],[Total Cost]]</f>
        <v>631950</v>
      </c>
      <c r="P19" s="8">
        <f>Table2[[#This Row],[Gross Profit]]*0.95</f>
        <v>600352.5</v>
      </c>
      <c r="Q19" s="14"/>
    </row>
    <row r="20" spans="1:17">
      <c r="A20" t="s">
        <v>11</v>
      </c>
      <c r="B20" t="s">
        <v>48</v>
      </c>
      <c r="C20" t="s">
        <v>49</v>
      </c>
      <c r="D20" t="s">
        <v>18</v>
      </c>
      <c r="E20" t="s">
        <v>26</v>
      </c>
      <c r="F20" s="2">
        <v>41121</v>
      </c>
      <c r="G20" s="11">
        <f>YEAR(Table2[[#This Row],[Order Date]])</f>
        <v>2012</v>
      </c>
      <c r="H20">
        <v>322067916</v>
      </c>
      <c r="I20" s="2">
        <v>41222</v>
      </c>
      <c r="J20" s="3">
        <v>5908</v>
      </c>
      <c r="K20" s="5">
        <v>422</v>
      </c>
      <c r="L20" s="5">
        <v>365</v>
      </c>
      <c r="M20" s="8">
        <f>Table2[[#This Row],[Units Sold]]*Table2[[#This Row],[Unit Price]]</f>
        <v>2493176</v>
      </c>
      <c r="N20" s="8">
        <f>Table2[[#This Row],[Unit Cost]]*Table2[[#This Row],[Units Sold]]</f>
        <v>2156420</v>
      </c>
      <c r="O20" s="8">
        <f>Table2[[#This Row],[Total Revenue]]-Table2[[#This Row],[Total Cost]]</f>
        <v>336756</v>
      </c>
      <c r="P20" s="8">
        <f>Table2[[#This Row],[Gross Profit]]*0.95</f>
        <v>319918.2</v>
      </c>
      <c r="Q20" s="14"/>
    </row>
    <row r="21" spans="1:17">
      <c r="A21" t="s">
        <v>20</v>
      </c>
      <c r="B21" t="s">
        <v>50</v>
      </c>
      <c r="C21" t="s">
        <v>13</v>
      </c>
      <c r="D21" t="s">
        <v>18</v>
      </c>
      <c r="E21" t="s">
        <v>26</v>
      </c>
      <c r="F21" s="2">
        <v>41773</v>
      </c>
      <c r="G21" s="11">
        <f>YEAR(Table2[[#This Row],[Order Date]])</f>
        <v>2014</v>
      </c>
      <c r="H21">
        <v>819028031</v>
      </c>
      <c r="I21" s="2">
        <v>41818</v>
      </c>
      <c r="J21" s="3">
        <v>7450</v>
      </c>
      <c r="K21" s="5">
        <v>255</v>
      </c>
      <c r="L21" s="5">
        <v>159</v>
      </c>
      <c r="M21" s="8">
        <f>Table2[[#This Row],[Units Sold]]*Table2[[#This Row],[Unit Price]]</f>
        <v>1899750</v>
      </c>
      <c r="N21" s="8">
        <f>Table2[[#This Row],[Unit Cost]]*Table2[[#This Row],[Units Sold]]</f>
        <v>1184550</v>
      </c>
      <c r="O21" s="8">
        <f>Table2[[#This Row],[Total Revenue]]-Table2[[#This Row],[Total Cost]]</f>
        <v>715200</v>
      </c>
      <c r="P21" s="8">
        <f>Table2[[#This Row],[Gross Profit]]*0.95</f>
        <v>679440</v>
      </c>
      <c r="Q21" s="14"/>
    </row>
    <row r="22" spans="1:17">
      <c r="A22" t="s">
        <v>20</v>
      </c>
      <c r="B22" t="s">
        <v>51</v>
      </c>
      <c r="C22" t="s">
        <v>13</v>
      </c>
      <c r="D22" t="s">
        <v>18</v>
      </c>
      <c r="E22" t="s">
        <v>15</v>
      </c>
      <c r="F22" s="2">
        <v>42216</v>
      </c>
      <c r="G22" s="11">
        <f>YEAR(Table2[[#This Row],[Order Date]])</f>
        <v>2015</v>
      </c>
      <c r="H22">
        <v>860673511</v>
      </c>
      <c r="I22" s="2">
        <v>42072</v>
      </c>
      <c r="J22" s="3">
        <v>1273</v>
      </c>
      <c r="K22" s="5">
        <v>255</v>
      </c>
      <c r="L22" s="5">
        <v>159</v>
      </c>
      <c r="M22" s="8">
        <f>Table2[[#This Row],[Units Sold]]*Table2[[#This Row],[Unit Price]]</f>
        <v>324615</v>
      </c>
      <c r="N22" s="8">
        <f>Table2[[#This Row],[Unit Cost]]*Table2[[#This Row],[Units Sold]]</f>
        <v>202407</v>
      </c>
      <c r="O22" s="8">
        <f>Table2[[#This Row],[Total Revenue]]-Table2[[#This Row],[Total Cost]]</f>
        <v>122208</v>
      </c>
      <c r="P22" s="8">
        <f>Table2[[#This Row],[Gross Profit]]*0.95</f>
        <v>116097.59999999999</v>
      </c>
      <c r="Q22" s="14"/>
    </row>
    <row r="23" spans="1:17">
      <c r="A23" t="s">
        <v>16</v>
      </c>
      <c r="B23" t="s">
        <v>40</v>
      </c>
      <c r="C23" t="s">
        <v>116</v>
      </c>
      <c r="D23" t="s">
        <v>18</v>
      </c>
      <c r="E23" t="s">
        <v>26</v>
      </c>
      <c r="F23" s="2">
        <v>42551</v>
      </c>
      <c r="G23" s="11">
        <f>YEAR(Table2[[#This Row],[Order Date]])</f>
        <v>2016</v>
      </c>
      <c r="H23">
        <v>795490682</v>
      </c>
      <c r="I23" s="2">
        <v>42577</v>
      </c>
      <c r="J23" s="3">
        <v>2225</v>
      </c>
      <c r="K23" s="5">
        <v>153</v>
      </c>
      <c r="L23" s="5">
        <v>97</v>
      </c>
      <c r="M23" s="8">
        <f>Table2[[#This Row],[Units Sold]]*Table2[[#This Row],[Unit Price]]</f>
        <v>340425</v>
      </c>
      <c r="N23" s="8">
        <f>Table2[[#This Row],[Unit Cost]]*Table2[[#This Row],[Units Sold]]</f>
        <v>215825</v>
      </c>
      <c r="O23" s="8">
        <f>Table2[[#This Row],[Total Revenue]]-Table2[[#This Row],[Total Cost]]</f>
        <v>124600</v>
      </c>
      <c r="P23" s="8">
        <f>Table2[[#This Row],[Gross Profit]]*0.95</f>
        <v>118370</v>
      </c>
      <c r="Q23" s="14"/>
    </row>
    <row r="24" spans="1:17">
      <c r="A24" t="s">
        <v>11</v>
      </c>
      <c r="B24" t="s">
        <v>52</v>
      </c>
      <c r="C24" t="s">
        <v>23</v>
      </c>
      <c r="D24" t="s">
        <v>18</v>
      </c>
      <c r="E24" t="s">
        <v>15</v>
      </c>
      <c r="F24" s="2">
        <v>41890</v>
      </c>
      <c r="G24" s="11">
        <f>YEAR(Table2[[#This Row],[Order Date]])</f>
        <v>2014</v>
      </c>
      <c r="H24">
        <v>142278373</v>
      </c>
      <c r="I24" s="2">
        <v>41739</v>
      </c>
      <c r="J24" s="3">
        <v>2187</v>
      </c>
      <c r="K24" s="5">
        <v>9</v>
      </c>
      <c r="L24" s="5">
        <v>7</v>
      </c>
      <c r="M24" s="8">
        <f>Table2[[#This Row],[Units Sold]]*Table2[[#This Row],[Unit Price]]</f>
        <v>19683</v>
      </c>
      <c r="N24" s="8">
        <f>Table2[[#This Row],[Unit Cost]]*Table2[[#This Row],[Units Sold]]</f>
        <v>15309</v>
      </c>
      <c r="O24" s="8">
        <f>Table2[[#This Row],[Total Revenue]]-Table2[[#This Row],[Total Cost]]</f>
        <v>4374</v>
      </c>
      <c r="P24" s="8">
        <f>Table2[[#This Row],[Gross Profit]]*0.95</f>
        <v>4155.3</v>
      </c>
      <c r="Q24" s="14"/>
    </row>
    <row r="25" spans="1:17">
      <c r="A25" t="s">
        <v>20</v>
      </c>
      <c r="B25" t="s">
        <v>53</v>
      </c>
      <c r="C25" t="s">
        <v>33</v>
      </c>
      <c r="D25" t="s">
        <v>18</v>
      </c>
      <c r="E25" t="s">
        <v>26</v>
      </c>
      <c r="F25" s="2">
        <v>42497</v>
      </c>
      <c r="G25" s="11">
        <f>YEAR(Table2[[#This Row],[Order Date]])</f>
        <v>2016</v>
      </c>
      <c r="H25">
        <v>740147912</v>
      </c>
      <c r="I25" s="2">
        <v>42648</v>
      </c>
      <c r="J25" s="3">
        <v>5070</v>
      </c>
      <c r="K25" s="5">
        <v>82</v>
      </c>
      <c r="L25" s="5">
        <v>57</v>
      </c>
      <c r="M25" s="8">
        <f>Table2[[#This Row],[Units Sold]]*Table2[[#This Row],[Unit Price]]</f>
        <v>415740</v>
      </c>
      <c r="N25" s="8">
        <f>Table2[[#This Row],[Unit Cost]]*Table2[[#This Row],[Units Sold]]</f>
        <v>288990</v>
      </c>
      <c r="O25" s="8">
        <f>Table2[[#This Row],[Total Revenue]]-Table2[[#This Row],[Total Cost]]</f>
        <v>126750</v>
      </c>
      <c r="P25" s="8">
        <f>Table2[[#This Row],[Gross Profit]]*0.95</f>
        <v>120412.5</v>
      </c>
      <c r="Q25" s="14"/>
    </row>
    <row r="26" spans="1:17">
      <c r="A26" t="s">
        <v>20</v>
      </c>
      <c r="B26" t="s">
        <v>54</v>
      </c>
      <c r="C26" t="s">
        <v>44</v>
      </c>
      <c r="D26" t="s">
        <v>18</v>
      </c>
      <c r="E26" t="s">
        <v>15</v>
      </c>
      <c r="F26" s="2">
        <v>42877</v>
      </c>
      <c r="G26" s="11">
        <f>YEAR(Table2[[#This Row],[Order Date]])</f>
        <v>2017</v>
      </c>
      <c r="H26">
        <v>898523128</v>
      </c>
      <c r="I26" s="2">
        <v>42861</v>
      </c>
      <c r="J26" s="3">
        <v>1815</v>
      </c>
      <c r="K26" s="5">
        <v>437</v>
      </c>
      <c r="L26" s="5">
        <v>263</v>
      </c>
      <c r="M26" s="8">
        <f>Table2[[#This Row],[Units Sold]]*Table2[[#This Row],[Unit Price]]</f>
        <v>793155</v>
      </c>
      <c r="N26" s="8">
        <f>Table2[[#This Row],[Unit Cost]]*Table2[[#This Row],[Units Sold]]</f>
        <v>477345</v>
      </c>
      <c r="O26" s="8">
        <f>Table2[[#This Row],[Total Revenue]]-Table2[[#This Row],[Total Cost]]</f>
        <v>315810</v>
      </c>
      <c r="P26" s="8">
        <f>Table2[[#This Row],[Gross Profit]]*0.95</f>
        <v>300019.5</v>
      </c>
      <c r="Q26" s="14"/>
    </row>
    <row r="27" spans="1:17">
      <c r="A27" t="s">
        <v>11</v>
      </c>
      <c r="B27" t="s">
        <v>55</v>
      </c>
      <c r="C27" t="s">
        <v>23</v>
      </c>
      <c r="D27" t="s">
        <v>18</v>
      </c>
      <c r="E27" t="s">
        <v>30</v>
      </c>
      <c r="F27" s="2">
        <v>41925</v>
      </c>
      <c r="G27" s="11">
        <f>YEAR(Table2[[#This Row],[Order Date]])</f>
        <v>2014</v>
      </c>
      <c r="H27">
        <v>347140347</v>
      </c>
      <c r="I27" s="2">
        <v>41923</v>
      </c>
      <c r="J27" s="3">
        <v>5398</v>
      </c>
      <c r="K27" s="5">
        <v>9</v>
      </c>
      <c r="L27" s="5">
        <v>7</v>
      </c>
      <c r="M27" s="8">
        <f>Table2[[#This Row],[Units Sold]]*Table2[[#This Row],[Unit Price]]</f>
        <v>48582</v>
      </c>
      <c r="N27" s="8">
        <f>Table2[[#This Row],[Unit Cost]]*Table2[[#This Row],[Units Sold]]</f>
        <v>37786</v>
      </c>
      <c r="O27" s="8">
        <f>Table2[[#This Row],[Total Revenue]]-Table2[[#This Row],[Total Cost]]</f>
        <v>10796</v>
      </c>
      <c r="P27" s="8">
        <f>Table2[[#This Row],[Gross Profit]]*0.95</f>
        <v>10256.199999999999</v>
      </c>
      <c r="Q27" s="14"/>
    </row>
    <row r="28" spans="1:17">
      <c r="A28" t="s">
        <v>21</v>
      </c>
      <c r="B28" t="s">
        <v>56</v>
      </c>
      <c r="C28" t="s">
        <v>23</v>
      </c>
      <c r="D28" t="s">
        <v>18</v>
      </c>
      <c r="E28" t="s">
        <v>26</v>
      </c>
      <c r="F28" s="2">
        <v>40305</v>
      </c>
      <c r="G28" s="11">
        <f>YEAR(Table2[[#This Row],[Order Date]])</f>
        <v>2010</v>
      </c>
      <c r="H28">
        <v>686048400</v>
      </c>
      <c r="I28" s="2">
        <v>40456</v>
      </c>
      <c r="J28" s="3">
        <v>5822</v>
      </c>
      <c r="K28" s="5">
        <v>9</v>
      </c>
      <c r="L28" s="5">
        <v>7</v>
      </c>
      <c r="M28" s="8">
        <f>Table2[[#This Row],[Units Sold]]*Table2[[#This Row],[Unit Price]]</f>
        <v>52398</v>
      </c>
      <c r="N28" s="8">
        <f>Table2[[#This Row],[Unit Cost]]*Table2[[#This Row],[Units Sold]]</f>
        <v>40754</v>
      </c>
      <c r="O28" s="8">
        <f>Table2[[#This Row],[Total Revenue]]-Table2[[#This Row],[Total Cost]]</f>
        <v>11644</v>
      </c>
      <c r="P28" s="8">
        <f>Table2[[#This Row],[Gross Profit]]*0.95</f>
        <v>11061.8</v>
      </c>
      <c r="Q28" s="14"/>
    </row>
    <row r="29" spans="1:17">
      <c r="A29" t="s">
        <v>20</v>
      </c>
      <c r="B29" t="s">
        <v>50</v>
      </c>
      <c r="C29" t="s">
        <v>46</v>
      </c>
      <c r="D29" t="s">
        <v>14</v>
      </c>
      <c r="E29" t="s">
        <v>19</v>
      </c>
      <c r="F29" s="2">
        <v>41838</v>
      </c>
      <c r="G29" s="11">
        <f>YEAR(Table2[[#This Row],[Order Date]])</f>
        <v>2014</v>
      </c>
      <c r="H29">
        <v>435608613</v>
      </c>
      <c r="I29" s="2">
        <v>41850</v>
      </c>
      <c r="J29" s="3">
        <v>5124</v>
      </c>
      <c r="K29" s="5">
        <v>47</v>
      </c>
      <c r="L29" s="5">
        <v>32</v>
      </c>
      <c r="M29" s="8">
        <f>Table2[[#This Row],[Units Sold]]*Table2[[#This Row],[Unit Price]]</f>
        <v>240828</v>
      </c>
      <c r="N29" s="8">
        <f>Table2[[#This Row],[Unit Cost]]*Table2[[#This Row],[Units Sold]]</f>
        <v>163968</v>
      </c>
      <c r="O29" s="8">
        <f>Table2[[#This Row],[Total Revenue]]-Table2[[#This Row],[Total Cost]]</f>
        <v>76860</v>
      </c>
      <c r="P29" s="8">
        <f>Table2[[#This Row],[Gross Profit]]*0.95</f>
        <v>73017</v>
      </c>
      <c r="Q29" s="14"/>
    </row>
    <row r="30" spans="1:17">
      <c r="A30" t="s">
        <v>21</v>
      </c>
      <c r="B30" t="s">
        <v>57</v>
      </c>
      <c r="C30" t="s">
        <v>29</v>
      </c>
      <c r="D30" t="s">
        <v>14</v>
      </c>
      <c r="E30" t="s">
        <v>26</v>
      </c>
      <c r="F30" s="2">
        <v>41055</v>
      </c>
      <c r="G30" s="11">
        <f>YEAR(Table2[[#This Row],[Order Date]])</f>
        <v>2012</v>
      </c>
      <c r="H30">
        <v>886494815</v>
      </c>
      <c r="I30" s="2">
        <v>41158</v>
      </c>
      <c r="J30" s="3">
        <v>2370</v>
      </c>
      <c r="K30" s="5">
        <v>668</v>
      </c>
      <c r="L30" s="5">
        <v>503</v>
      </c>
      <c r="M30" s="8">
        <f>Table2[[#This Row],[Units Sold]]*Table2[[#This Row],[Unit Price]]</f>
        <v>1583160</v>
      </c>
      <c r="N30" s="8">
        <f>Table2[[#This Row],[Unit Cost]]*Table2[[#This Row],[Units Sold]]</f>
        <v>1192110</v>
      </c>
      <c r="O30" s="8">
        <f>Table2[[#This Row],[Total Revenue]]-Table2[[#This Row],[Total Cost]]</f>
        <v>391050</v>
      </c>
      <c r="P30" s="8">
        <f>Table2[[#This Row],[Gross Profit]]*0.95</f>
        <v>371497.5</v>
      </c>
      <c r="Q30" s="14"/>
    </row>
    <row r="31" spans="1:17">
      <c r="A31" t="s">
        <v>20</v>
      </c>
      <c r="B31" t="s">
        <v>58</v>
      </c>
      <c r="C31" t="s">
        <v>44</v>
      </c>
      <c r="D31" t="s">
        <v>14</v>
      </c>
      <c r="E31" t="s">
        <v>30</v>
      </c>
      <c r="F31" s="2">
        <v>41169</v>
      </c>
      <c r="G31" s="11">
        <f>YEAR(Table2[[#This Row],[Order Date]])</f>
        <v>2012</v>
      </c>
      <c r="H31">
        <v>249693334</v>
      </c>
      <c r="I31" s="2">
        <v>41202</v>
      </c>
      <c r="J31" s="3">
        <v>8661</v>
      </c>
      <c r="K31" s="5">
        <v>437</v>
      </c>
      <c r="L31" s="5">
        <v>263</v>
      </c>
      <c r="M31" s="8">
        <f>Table2[[#This Row],[Units Sold]]*Table2[[#This Row],[Unit Price]]</f>
        <v>3784857</v>
      </c>
      <c r="N31" s="8">
        <f>Table2[[#This Row],[Unit Cost]]*Table2[[#This Row],[Units Sold]]</f>
        <v>2277843</v>
      </c>
      <c r="O31" s="8">
        <f>Table2[[#This Row],[Total Revenue]]-Table2[[#This Row],[Total Cost]]</f>
        <v>1507014</v>
      </c>
      <c r="P31" s="8">
        <f>Table2[[#This Row],[Gross Profit]]*0.95</f>
        <v>1431663.3</v>
      </c>
      <c r="Q31" s="14"/>
    </row>
    <row r="32" spans="1:17">
      <c r="A32" t="s">
        <v>21</v>
      </c>
      <c r="B32" t="s">
        <v>59</v>
      </c>
      <c r="C32" t="s">
        <v>33</v>
      </c>
      <c r="D32" t="s">
        <v>14</v>
      </c>
      <c r="E32" t="s">
        <v>19</v>
      </c>
      <c r="F32" s="2">
        <v>41637</v>
      </c>
      <c r="G32" s="11">
        <f>YEAR(Table2[[#This Row],[Order Date]])</f>
        <v>2013</v>
      </c>
      <c r="H32">
        <v>406502997</v>
      </c>
      <c r="I32" s="2">
        <v>41667</v>
      </c>
      <c r="J32" s="3">
        <v>2125</v>
      </c>
      <c r="K32" s="5">
        <v>82</v>
      </c>
      <c r="L32" s="5">
        <v>57</v>
      </c>
      <c r="M32" s="8">
        <f>Table2[[#This Row],[Units Sold]]*Table2[[#This Row],[Unit Price]]</f>
        <v>174250</v>
      </c>
      <c r="N32" s="8">
        <f>Table2[[#This Row],[Unit Cost]]*Table2[[#This Row],[Units Sold]]</f>
        <v>121125</v>
      </c>
      <c r="O32" s="8">
        <f>Table2[[#This Row],[Total Revenue]]-Table2[[#This Row],[Total Cost]]</f>
        <v>53125</v>
      </c>
      <c r="P32" s="8">
        <f>Table2[[#This Row],[Gross Profit]]*0.95</f>
        <v>50468.75</v>
      </c>
      <c r="Q32" s="14"/>
    </row>
    <row r="33" spans="1:17">
      <c r="A33" t="s">
        <v>11</v>
      </c>
      <c r="B33" t="s">
        <v>60</v>
      </c>
      <c r="C33" t="s">
        <v>25</v>
      </c>
      <c r="D33" t="s">
        <v>18</v>
      </c>
      <c r="E33" t="s">
        <v>19</v>
      </c>
      <c r="F33" s="2">
        <v>42304</v>
      </c>
      <c r="G33" s="11">
        <f>YEAR(Table2[[#This Row],[Order Date]])</f>
        <v>2015</v>
      </c>
      <c r="H33">
        <v>158535134</v>
      </c>
      <c r="I33" s="2">
        <v>42333</v>
      </c>
      <c r="J33" s="3">
        <v>2924</v>
      </c>
      <c r="K33" s="5">
        <v>651</v>
      </c>
      <c r="L33" s="5">
        <v>525</v>
      </c>
      <c r="M33" s="8">
        <f>Table2[[#This Row],[Units Sold]]*Table2[[#This Row],[Unit Price]]</f>
        <v>1903524</v>
      </c>
      <c r="N33" s="8">
        <f>Table2[[#This Row],[Unit Cost]]*Table2[[#This Row],[Units Sold]]</f>
        <v>1535100</v>
      </c>
      <c r="O33" s="8">
        <f>Table2[[#This Row],[Total Revenue]]-Table2[[#This Row],[Total Cost]]</f>
        <v>368424</v>
      </c>
      <c r="P33" s="8">
        <f>Table2[[#This Row],[Gross Profit]]*0.95</f>
        <v>350002.8</v>
      </c>
      <c r="Q33" s="14"/>
    </row>
    <row r="34" spans="1:17">
      <c r="A34" t="s">
        <v>35</v>
      </c>
      <c r="B34" t="s">
        <v>61</v>
      </c>
      <c r="C34" t="s">
        <v>29</v>
      </c>
      <c r="D34" t="s">
        <v>14</v>
      </c>
      <c r="E34" t="s">
        <v>15</v>
      </c>
      <c r="F34" s="2">
        <v>42020</v>
      </c>
      <c r="G34" s="11">
        <f>YEAR(Table2[[#This Row],[Order Date]])</f>
        <v>2015</v>
      </c>
      <c r="H34">
        <v>177713572</v>
      </c>
      <c r="I34" s="2">
        <v>42007</v>
      </c>
      <c r="J34" s="3">
        <v>8250</v>
      </c>
      <c r="K34" s="5">
        <v>668</v>
      </c>
      <c r="L34" s="5">
        <v>503</v>
      </c>
      <c r="M34" s="8">
        <f>Table2[[#This Row],[Units Sold]]*Table2[[#This Row],[Unit Price]]</f>
        <v>5511000</v>
      </c>
      <c r="N34" s="8">
        <f>Table2[[#This Row],[Unit Cost]]*Table2[[#This Row],[Units Sold]]</f>
        <v>4149750</v>
      </c>
      <c r="O34" s="8">
        <f>Table2[[#This Row],[Total Revenue]]-Table2[[#This Row],[Total Cost]]</f>
        <v>1361250</v>
      </c>
      <c r="P34" s="8">
        <f>Table2[[#This Row],[Gross Profit]]*0.95</f>
        <v>1293187.5</v>
      </c>
      <c r="Q34" s="14"/>
    </row>
    <row r="35" spans="1:17">
      <c r="A35" t="s">
        <v>21</v>
      </c>
      <c r="B35" t="s">
        <v>62</v>
      </c>
      <c r="C35" t="s">
        <v>116</v>
      </c>
      <c r="D35" t="s">
        <v>18</v>
      </c>
      <c r="E35" t="s">
        <v>30</v>
      </c>
      <c r="F35" s="2">
        <v>42791</v>
      </c>
      <c r="G35" s="11">
        <f>YEAR(Table2[[#This Row],[Order Date]])</f>
        <v>2017</v>
      </c>
      <c r="H35">
        <v>756274640</v>
      </c>
      <c r="I35" s="2">
        <v>42791</v>
      </c>
      <c r="J35" s="3">
        <v>7327</v>
      </c>
      <c r="K35" s="5">
        <v>153</v>
      </c>
      <c r="L35" s="5">
        <v>97</v>
      </c>
      <c r="M35" s="8">
        <f>Table2[[#This Row],[Units Sold]]*Table2[[#This Row],[Unit Price]]</f>
        <v>1121031</v>
      </c>
      <c r="N35" s="8">
        <f>Table2[[#This Row],[Unit Cost]]*Table2[[#This Row],[Units Sold]]</f>
        <v>710719</v>
      </c>
      <c r="O35" s="8">
        <f>Table2[[#This Row],[Total Revenue]]-Table2[[#This Row],[Total Cost]]</f>
        <v>410312</v>
      </c>
      <c r="P35" s="8">
        <f>Table2[[#This Row],[Gross Profit]]*0.95</f>
        <v>389796.39999999997</v>
      </c>
      <c r="Q35" s="14"/>
    </row>
    <row r="36" spans="1:17">
      <c r="A36" t="s">
        <v>16</v>
      </c>
      <c r="B36" t="s">
        <v>63</v>
      </c>
      <c r="C36" t="s">
        <v>33</v>
      </c>
      <c r="D36" t="s">
        <v>14</v>
      </c>
      <c r="E36" t="s">
        <v>26</v>
      </c>
      <c r="F36" s="2">
        <v>42863</v>
      </c>
      <c r="G36" s="11">
        <f>YEAR(Table2[[#This Row],[Order Date]])</f>
        <v>2017</v>
      </c>
      <c r="H36">
        <v>456767165</v>
      </c>
      <c r="I36" s="2">
        <v>42876</v>
      </c>
      <c r="J36" s="3">
        <v>6409</v>
      </c>
      <c r="K36" s="5">
        <v>82</v>
      </c>
      <c r="L36" s="5">
        <v>57</v>
      </c>
      <c r="M36" s="8">
        <f>Table2[[#This Row],[Units Sold]]*Table2[[#This Row],[Unit Price]]</f>
        <v>525538</v>
      </c>
      <c r="N36" s="8">
        <f>Table2[[#This Row],[Unit Cost]]*Table2[[#This Row],[Units Sold]]</f>
        <v>365313</v>
      </c>
      <c r="O36" s="8">
        <f>Table2[[#This Row],[Total Revenue]]-Table2[[#This Row],[Total Cost]]</f>
        <v>160225</v>
      </c>
      <c r="P36" s="8">
        <f>Table2[[#This Row],[Gross Profit]]*0.95</f>
        <v>152213.75</v>
      </c>
      <c r="Q36" s="14"/>
    </row>
    <row r="37" spans="1:17">
      <c r="A37" t="s">
        <v>64</v>
      </c>
      <c r="B37" t="s">
        <v>65</v>
      </c>
      <c r="C37" t="s">
        <v>23</v>
      </c>
      <c r="D37" t="s">
        <v>18</v>
      </c>
      <c r="E37" t="s">
        <v>26</v>
      </c>
      <c r="F37" s="2">
        <v>40869</v>
      </c>
      <c r="G37" s="11">
        <f>YEAR(Table2[[#This Row],[Order Date]])</f>
        <v>2011</v>
      </c>
      <c r="H37">
        <v>162052476</v>
      </c>
      <c r="I37" s="2">
        <v>40614</v>
      </c>
      <c r="J37" s="3">
        <v>3784</v>
      </c>
      <c r="K37" s="5">
        <v>9</v>
      </c>
      <c r="L37" s="5">
        <v>7</v>
      </c>
      <c r="M37" s="8">
        <f>Table2[[#This Row],[Units Sold]]*Table2[[#This Row],[Unit Price]]</f>
        <v>34056</v>
      </c>
      <c r="N37" s="8">
        <f>Table2[[#This Row],[Unit Cost]]*Table2[[#This Row],[Units Sold]]</f>
        <v>26488</v>
      </c>
      <c r="O37" s="8">
        <f>Table2[[#This Row],[Total Revenue]]-Table2[[#This Row],[Total Cost]]</f>
        <v>7568</v>
      </c>
      <c r="P37" s="8">
        <f>Table2[[#This Row],[Gross Profit]]*0.95</f>
        <v>7189.5999999999995</v>
      </c>
      <c r="Q37" s="14"/>
    </row>
    <row r="38" spans="1:17">
      <c r="A38" t="s">
        <v>21</v>
      </c>
      <c r="B38" t="s">
        <v>57</v>
      </c>
      <c r="C38" t="s">
        <v>49</v>
      </c>
      <c r="D38" t="s">
        <v>18</v>
      </c>
      <c r="E38" t="s">
        <v>30</v>
      </c>
      <c r="F38" s="2">
        <v>42749</v>
      </c>
      <c r="G38" s="11">
        <f>YEAR(Table2[[#This Row],[Order Date]])</f>
        <v>2017</v>
      </c>
      <c r="H38">
        <v>825304400</v>
      </c>
      <c r="I38" s="2">
        <v>42758</v>
      </c>
      <c r="J38" s="3">
        <v>4767</v>
      </c>
      <c r="K38" s="5">
        <v>422</v>
      </c>
      <c r="L38" s="5">
        <v>365</v>
      </c>
      <c r="M38" s="8">
        <f>Table2[[#This Row],[Units Sold]]*Table2[[#This Row],[Unit Price]]</f>
        <v>2011674</v>
      </c>
      <c r="N38" s="8">
        <f>Table2[[#This Row],[Unit Cost]]*Table2[[#This Row],[Units Sold]]</f>
        <v>1739955</v>
      </c>
      <c r="O38" s="8">
        <f>Table2[[#This Row],[Total Revenue]]-Table2[[#This Row],[Total Cost]]</f>
        <v>271719</v>
      </c>
      <c r="P38" s="8">
        <f>Table2[[#This Row],[Gross Profit]]*0.95</f>
        <v>258133.05</v>
      </c>
      <c r="Q38" s="14"/>
    </row>
    <row r="39" spans="1:17">
      <c r="A39" t="s">
        <v>35</v>
      </c>
      <c r="B39" t="s">
        <v>66</v>
      </c>
      <c r="C39" t="s">
        <v>25</v>
      </c>
      <c r="D39" t="s">
        <v>18</v>
      </c>
      <c r="E39" t="s">
        <v>26</v>
      </c>
      <c r="F39" s="2">
        <v>41000</v>
      </c>
      <c r="G39" s="11">
        <f>YEAR(Table2[[#This Row],[Order Date]])</f>
        <v>2012</v>
      </c>
      <c r="H39">
        <v>320009267</v>
      </c>
      <c r="I39" s="2">
        <v>41126</v>
      </c>
      <c r="J39" s="3">
        <v>6708</v>
      </c>
      <c r="K39" s="5">
        <v>651</v>
      </c>
      <c r="L39" s="5">
        <v>525</v>
      </c>
      <c r="M39" s="8">
        <f>Table2[[#This Row],[Units Sold]]*Table2[[#This Row],[Unit Price]]</f>
        <v>4366908</v>
      </c>
      <c r="N39" s="8">
        <f>Table2[[#This Row],[Unit Cost]]*Table2[[#This Row],[Units Sold]]</f>
        <v>3521700</v>
      </c>
      <c r="O39" s="8">
        <f>Table2[[#This Row],[Total Revenue]]-Table2[[#This Row],[Total Cost]]</f>
        <v>845208</v>
      </c>
      <c r="P39" s="8">
        <f>Table2[[#This Row],[Gross Profit]]*0.95</f>
        <v>802947.6</v>
      </c>
      <c r="Q39" s="14"/>
    </row>
    <row r="40" spans="1:17">
      <c r="A40" t="s">
        <v>20</v>
      </c>
      <c r="B40" t="s">
        <v>42</v>
      </c>
      <c r="C40" t="s">
        <v>25</v>
      </c>
      <c r="D40" t="s">
        <v>18</v>
      </c>
      <c r="E40" t="s">
        <v>30</v>
      </c>
      <c r="F40" s="2">
        <v>40955</v>
      </c>
      <c r="G40" s="11">
        <f>YEAR(Table2[[#This Row],[Order Date]])</f>
        <v>2012</v>
      </c>
      <c r="H40">
        <v>189965903</v>
      </c>
      <c r="I40" s="2">
        <v>40967</v>
      </c>
      <c r="J40" s="3">
        <v>3987</v>
      </c>
      <c r="K40" s="5">
        <v>651</v>
      </c>
      <c r="L40" s="5">
        <v>525</v>
      </c>
      <c r="M40" s="8">
        <f>Table2[[#This Row],[Units Sold]]*Table2[[#This Row],[Unit Price]]</f>
        <v>2595537</v>
      </c>
      <c r="N40" s="8">
        <f>Table2[[#This Row],[Unit Cost]]*Table2[[#This Row],[Units Sold]]</f>
        <v>2093175</v>
      </c>
      <c r="O40" s="8">
        <f>Table2[[#This Row],[Total Revenue]]-Table2[[#This Row],[Total Cost]]</f>
        <v>502362</v>
      </c>
      <c r="P40" s="8">
        <f>Table2[[#This Row],[Gross Profit]]*0.95</f>
        <v>477243.89999999997</v>
      </c>
      <c r="Q40" s="14"/>
    </row>
    <row r="41" spans="1:17">
      <c r="A41" t="s">
        <v>21</v>
      </c>
      <c r="B41" t="s">
        <v>67</v>
      </c>
      <c r="C41" t="s">
        <v>33</v>
      </c>
      <c r="D41" t="s">
        <v>18</v>
      </c>
      <c r="E41" t="s">
        <v>15</v>
      </c>
      <c r="F41" s="2">
        <v>42805</v>
      </c>
      <c r="G41" s="11">
        <f>YEAR(Table2[[#This Row],[Order Date]])</f>
        <v>2017</v>
      </c>
      <c r="H41">
        <v>699285638</v>
      </c>
      <c r="I41" s="2">
        <v>42822</v>
      </c>
      <c r="J41" s="3">
        <v>3015</v>
      </c>
      <c r="K41" s="5">
        <v>82</v>
      </c>
      <c r="L41" s="5">
        <v>57</v>
      </c>
      <c r="M41" s="8">
        <f>Table2[[#This Row],[Units Sold]]*Table2[[#This Row],[Unit Price]]</f>
        <v>247230</v>
      </c>
      <c r="N41" s="8">
        <f>Table2[[#This Row],[Unit Cost]]*Table2[[#This Row],[Units Sold]]</f>
        <v>171855</v>
      </c>
      <c r="O41" s="8">
        <f>Table2[[#This Row],[Total Revenue]]-Table2[[#This Row],[Total Cost]]</f>
        <v>75375</v>
      </c>
      <c r="P41" s="8">
        <f>Table2[[#This Row],[Gross Profit]]*0.95</f>
        <v>71606.25</v>
      </c>
      <c r="Q41" s="14"/>
    </row>
    <row r="42" spans="1:17">
      <c r="A42" t="s">
        <v>64</v>
      </c>
      <c r="B42" t="s">
        <v>68</v>
      </c>
      <c r="C42" t="s">
        <v>44</v>
      </c>
      <c r="D42" t="s">
        <v>18</v>
      </c>
      <c r="E42" t="s">
        <v>30</v>
      </c>
      <c r="F42" s="2">
        <v>40215</v>
      </c>
      <c r="G42" s="11">
        <f>YEAR(Table2[[#This Row],[Order Date]])</f>
        <v>2010</v>
      </c>
      <c r="H42">
        <v>382392299</v>
      </c>
      <c r="I42" s="2">
        <v>40234</v>
      </c>
      <c r="J42" s="3">
        <v>7234</v>
      </c>
      <c r="K42" s="5">
        <v>437</v>
      </c>
      <c r="L42" s="5">
        <v>263</v>
      </c>
      <c r="M42" s="8">
        <f>Table2[[#This Row],[Units Sold]]*Table2[[#This Row],[Unit Price]]</f>
        <v>3161258</v>
      </c>
      <c r="N42" s="8">
        <f>Table2[[#This Row],[Unit Cost]]*Table2[[#This Row],[Units Sold]]</f>
        <v>1902542</v>
      </c>
      <c r="O42" s="8">
        <f>Table2[[#This Row],[Total Revenue]]-Table2[[#This Row],[Total Cost]]</f>
        <v>1258716</v>
      </c>
      <c r="P42" s="8">
        <f>Table2[[#This Row],[Gross Profit]]*0.95</f>
        <v>1195780.2</v>
      </c>
      <c r="Q42" s="14"/>
    </row>
    <row r="43" spans="1:17">
      <c r="A43" t="s">
        <v>21</v>
      </c>
      <c r="B43" t="s">
        <v>57</v>
      </c>
      <c r="C43" t="s">
        <v>17</v>
      </c>
      <c r="D43" t="s">
        <v>14</v>
      </c>
      <c r="E43" t="s">
        <v>15</v>
      </c>
      <c r="F43" s="2">
        <v>41067</v>
      </c>
      <c r="G43" s="11">
        <f>YEAR(Table2[[#This Row],[Order Date]])</f>
        <v>2012</v>
      </c>
      <c r="H43">
        <v>994022214</v>
      </c>
      <c r="I43" s="2">
        <v>41127</v>
      </c>
      <c r="J43" s="3">
        <v>2117</v>
      </c>
      <c r="K43" s="5">
        <v>206</v>
      </c>
      <c r="L43" s="5">
        <v>117</v>
      </c>
      <c r="M43" s="8">
        <f>Table2[[#This Row],[Units Sold]]*Table2[[#This Row],[Unit Price]]</f>
        <v>436102</v>
      </c>
      <c r="N43" s="8">
        <f>Table2[[#This Row],[Unit Cost]]*Table2[[#This Row],[Units Sold]]</f>
        <v>247689</v>
      </c>
      <c r="O43" s="8">
        <f>Table2[[#This Row],[Total Revenue]]-Table2[[#This Row],[Total Cost]]</f>
        <v>188413</v>
      </c>
      <c r="P43" s="8">
        <f>Table2[[#This Row],[Gross Profit]]*0.95</f>
        <v>178992.35</v>
      </c>
      <c r="Q43" s="14"/>
    </row>
    <row r="44" spans="1:17">
      <c r="A44" t="s">
        <v>20</v>
      </c>
      <c r="B44" t="s">
        <v>69</v>
      </c>
      <c r="C44" t="s">
        <v>31</v>
      </c>
      <c r="D44" t="s">
        <v>18</v>
      </c>
      <c r="E44" t="s">
        <v>15</v>
      </c>
      <c r="F44" s="2">
        <v>41188</v>
      </c>
      <c r="G44" s="11">
        <f>YEAR(Table2[[#This Row],[Order Date]])</f>
        <v>2012</v>
      </c>
      <c r="H44">
        <v>759224212</v>
      </c>
      <c r="I44" s="2">
        <v>41193</v>
      </c>
      <c r="J44" s="3">
        <v>171</v>
      </c>
      <c r="K44" s="5">
        <v>154</v>
      </c>
      <c r="L44" s="5">
        <v>91</v>
      </c>
      <c r="M44" s="8">
        <f>Table2[[#This Row],[Units Sold]]*Table2[[#This Row],[Unit Price]]</f>
        <v>26334</v>
      </c>
      <c r="N44" s="8">
        <f>Table2[[#This Row],[Unit Cost]]*Table2[[#This Row],[Units Sold]]</f>
        <v>15561</v>
      </c>
      <c r="O44" s="8">
        <f>Table2[[#This Row],[Total Revenue]]-Table2[[#This Row],[Total Cost]]</f>
        <v>10773</v>
      </c>
      <c r="P44" s="8">
        <f>Table2[[#This Row],[Gross Profit]]*0.95</f>
        <v>10234.35</v>
      </c>
      <c r="Q44" s="14"/>
    </row>
    <row r="45" spans="1:17">
      <c r="A45" t="s">
        <v>35</v>
      </c>
      <c r="B45" t="s">
        <v>61</v>
      </c>
      <c r="C45" t="s">
        <v>38</v>
      </c>
      <c r="D45" t="s">
        <v>18</v>
      </c>
      <c r="E45" t="s">
        <v>15</v>
      </c>
      <c r="F45" s="2">
        <v>42322</v>
      </c>
      <c r="G45" s="11">
        <f>YEAR(Table2[[#This Row],[Order Date]])</f>
        <v>2015</v>
      </c>
      <c r="H45">
        <v>223359620</v>
      </c>
      <c r="I45" s="2">
        <v>42326</v>
      </c>
      <c r="J45" s="3">
        <v>5930</v>
      </c>
      <c r="K45" s="5">
        <v>109</v>
      </c>
      <c r="L45" s="5">
        <v>36</v>
      </c>
      <c r="M45" s="8">
        <f>Table2[[#This Row],[Units Sold]]*Table2[[#This Row],[Unit Price]]</f>
        <v>646370</v>
      </c>
      <c r="N45" s="8">
        <f>Table2[[#This Row],[Unit Cost]]*Table2[[#This Row],[Units Sold]]</f>
        <v>213480</v>
      </c>
      <c r="O45" s="8">
        <f>Table2[[#This Row],[Total Revenue]]-Table2[[#This Row],[Total Cost]]</f>
        <v>432890</v>
      </c>
      <c r="P45" s="8">
        <f>Table2[[#This Row],[Gross Profit]]*0.95</f>
        <v>411245.5</v>
      </c>
      <c r="Q45" s="14"/>
    </row>
    <row r="46" spans="1:17">
      <c r="A46" t="s">
        <v>21</v>
      </c>
      <c r="B46" t="s">
        <v>70</v>
      </c>
      <c r="C46" t="s">
        <v>17</v>
      </c>
      <c r="D46" t="s">
        <v>14</v>
      </c>
      <c r="E46" t="s">
        <v>15</v>
      </c>
      <c r="F46" s="2">
        <v>42458</v>
      </c>
      <c r="G46" s="11">
        <f>YEAR(Table2[[#This Row],[Order Date]])</f>
        <v>2016</v>
      </c>
      <c r="H46">
        <v>902102267</v>
      </c>
      <c r="I46" s="2">
        <v>42489</v>
      </c>
      <c r="J46" s="3">
        <v>962</v>
      </c>
      <c r="K46" s="5">
        <v>206</v>
      </c>
      <c r="L46" s="5">
        <v>117</v>
      </c>
      <c r="M46" s="8">
        <f>Table2[[#This Row],[Units Sold]]*Table2[[#This Row],[Unit Price]]</f>
        <v>198172</v>
      </c>
      <c r="N46" s="8">
        <f>Table2[[#This Row],[Unit Cost]]*Table2[[#This Row],[Units Sold]]</f>
        <v>112554</v>
      </c>
      <c r="O46" s="8">
        <f>Table2[[#This Row],[Total Revenue]]-Table2[[#This Row],[Total Cost]]</f>
        <v>85618</v>
      </c>
      <c r="P46" s="8">
        <f>Table2[[#This Row],[Gross Profit]]*0.95</f>
        <v>81337.099999999991</v>
      </c>
      <c r="Q46" s="14"/>
    </row>
    <row r="47" spans="1:17">
      <c r="A47" t="s">
        <v>20</v>
      </c>
      <c r="B47" t="s">
        <v>71</v>
      </c>
      <c r="C47" t="s">
        <v>44</v>
      </c>
      <c r="D47" t="s">
        <v>18</v>
      </c>
      <c r="E47" t="s">
        <v>19</v>
      </c>
      <c r="F47" s="2">
        <v>42735</v>
      </c>
      <c r="G47" s="11">
        <f>YEAR(Table2[[#This Row],[Order Date]])</f>
        <v>2016</v>
      </c>
      <c r="H47">
        <v>331438481</v>
      </c>
      <c r="I47" s="2">
        <v>42735</v>
      </c>
      <c r="J47" s="3">
        <v>8867</v>
      </c>
      <c r="K47" s="5">
        <v>437</v>
      </c>
      <c r="L47" s="5">
        <v>263</v>
      </c>
      <c r="M47" s="8">
        <f>Table2[[#This Row],[Units Sold]]*Table2[[#This Row],[Unit Price]]</f>
        <v>3874879</v>
      </c>
      <c r="N47" s="8">
        <f>Table2[[#This Row],[Unit Cost]]*Table2[[#This Row],[Units Sold]]</f>
        <v>2332021</v>
      </c>
      <c r="O47" s="8">
        <f>Table2[[#This Row],[Total Revenue]]-Table2[[#This Row],[Total Cost]]</f>
        <v>1542858</v>
      </c>
      <c r="P47" s="8">
        <f>Table2[[#This Row],[Gross Profit]]*0.95</f>
        <v>1465715.0999999999</v>
      </c>
      <c r="Q47" s="14"/>
    </row>
    <row r="48" spans="1:17">
      <c r="A48" t="s">
        <v>20</v>
      </c>
      <c r="B48" t="s">
        <v>58</v>
      </c>
      <c r="C48" t="s">
        <v>33</v>
      </c>
      <c r="D48" t="s">
        <v>18</v>
      </c>
      <c r="E48" t="s">
        <v>30</v>
      </c>
      <c r="F48" s="2">
        <v>40535</v>
      </c>
      <c r="G48" s="11">
        <f>YEAR(Table2[[#This Row],[Order Date]])</f>
        <v>2010</v>
      </c>
      <c r="H48">
        <v>617667090</v>
      </c>
      <c r="I48" s="2">
        <v>40574</v>
      </c>
      <c r="J48" s="3">
        <v>273</v>
      </c>
      <c r="K48" s="5">
        <v>82</v>
      </c>
      <c r="L48" s="5">
        <v>57</v>
      </c>
      <c r="M48" s="8">
        <f>Table2[[#This Row],[Units Sold]]*Table2[[#This Row],[Unit Price]]</f>
        <v>22386</v>
      </c>
      <c r="N48" s="8">
        <f>Table2[[#This Row],[Unit Cost]]*Table2[[#This Row],[Units Sold]]</f>
        <v>15561</v>
      </c>
      <c r="O48" s="8">
        <f>Table2[[#This Row],[Total Revenue]]-Table2[[#This Row],[Total Cost]]</f>
        <v>6825</v>
      </c>
      <c r="P48" s="8">
        <f>Table2[[#This Row],[Gross Profit]]*0.95</f>
        <v>6483.75</v>
      </c>
      <c r="Q48" s="14"/>
    </row>
    <row r="49" spans="1:17">
      <c r="A49" t="s">
        <v>20</v>
      </c>
      <c r="B49" t="s">
        <v>72</v>
      </c>
      <c r="C49" t="s">
        <v>38</v>
      </c>
      <c r="D49" t="s">
        <v>14</v>
      </c>
      <c r="E49" t="s">
        <v>19</v>
      </c>
      <c r="F49" s="2">
        <v>41926</v>
      </c>
      <c r="G49" s="11">
        <f>YEAR(Table2[[#This Row],[Order Date]])</f>
        <v>2014</v>
      </c>
      <c r="H49">
        <v>787399423</v>
      </c>
      <c r="I49" s="2">
        <v>41957</v>
      </c>
      <c r="J49" s="3">
        <v>7842</v>
      </c>
      <c r="K49" s="5">
        <v>109</v>
      </c>
      <c r="L49" s="5">
        <v>36</v>
      </c>
      <c r="M49" s="8">
        <f>Table2[[#This Row],[Units Sold]]*Table2[[#This Row],[Unit Price]]</f>
        <v>854778</v>
      </c>
      <c r="N49" s="8">
        <f>Table2[[#This Row],[Unit Cost]]*Table2[[#This Row],[Units Sold]]</f>
        <v>282312</v>
      </c>
      <c r="O49" s="8">
        <f>Table2[[#This Row],[Total Revenue]]-Table2[[#This Row],[Total Cost]]</f>
        <v>572466</v>
      </c>
      <c r="P49" s="8">
        <f>Table2[[#This Row],[Gross Profit]]*0.95</f>
        <v>543842.69999999995</v>
      </c>
      <c r="Q49" s="14"/>
    </row>
    <row r="50" spans="1:17">
      <c r="A50" t="s">
        <v>21</v>
      </c>
      <c r="B50" t="s">
        <v>73</v>
      </c>
      <c r="C50" t="s">
        <v>25</v>
      </c>
      <c r="D50" t="s">
        <v>14</v>
      </c>
      <c r="E50" t="s">
        <v>19</v>
      </c>
      <c r="F50" s="2">
        <v>40919</v>
      </c>
      <c r="G50" s="11">
        <f>YEAR(Table2[[#This Row],[Order Date]])</f>
        <v>2012</v>
      </c>
      <c r="H50">
        <v>837559306</v>
      </c>
      <c r="I50" s="2">
        <v>40921</v>
      </c>
      <c r="J50" s="3">
        <v>1266</v>
      </c>
      <c r="K50" s="5">
        <v>651</v>
      </c>
      <c r="L50" s="5">
        <v>525</v>
      </c>
      <c r="M50" s="8">
        <f>Table2[[#This Row],[Units Sold]]*Table2[[#This Row],[Unit Price]]</f>
        <v>824166</v>
      </c>
      <c r="N50" s="8">
        <f>Table2[[#This Row],[Unit Cost]]*Table2[[#This Row],[Units Sold]]</f>
        <v>664650</v>
      </c>
      <c r="O50" s="8">
        <f>Table2[[#This Row],[Total Revenue]]-Table2[[#This Row],[Total Cost]]</f>
        <v>159516</v>
      </c>
      <c r="P50" s="8">
        <f>Table2[[#This Row],[Gross Profit]]*0.95</f>
        <v>151540.19999999998</v>
      </c>
      <c r="Q50" s="14"/>
    </row>
    <row r="51" spans="1:17">
      <c r="A51" t="s">
        <v>20</v>
      </c>
      <c r="B51" t="s">
        <v>74</v>
      </c>
      <c r="C51" t="s">
        <v>38</v>
      </c>
      <c r="D51" t="s">
        <v>18</v>
      </c>
      <c r="E51" t="s">
        <v>19</v>
      </c>
      <c r="F51" s="2">
        <v>40211</v>
      </c>
      <c r="G51" s="11">
        <f>YEAR(Table2[[#This Row],[Order Date]])</f>
        <v>2010</v>
      </c>
      <c r="H51">
        <v>385383069</v>
      </c>
      <c r="I51" s="2">
        <v>40255</v>
      </c>
      <c r="J51" s="3">
        <v>2269</v>
      </c>
      <c r="K51" s="5">
        <v>109</v>
      </c>
      <c r="L51" s="5">
        <v>36</v>
      </c>
      <c r="M51" s="8">
        <f>Table2[[#This Row],[Units Sold]]*Table2[[#This Row],[Unit Price]]</f>
        <v>247321</v>
      </c>
      <c r="N51" s="8">
        <f>Table2[[#This Row],[Unit Cost]]*Table2[[#This Row],[Units Sold]]</f>
        <v>81684</v>
      </c>
      <c r="O51" s="8">
        <f>Table2[[#This Row],[Total Revenue]]-Table2[[#This Row],[Total Cost]]</f>
        <v>165637</v>
      </c>
      <c r="P51" s="8">
        <f>Table2[[#This Row],[Gross Profit]]*0.95</f>
        <v>157355.15</v>
      </c>
      <c r="Q51" s="14"/>
    </row>
    <row r="52" spans="1:17">
      <c r="A52" t="s">
        <v>21</v>
      </c>
      <c r="B52" t="s">
        <v>75</v>
      </c>
      <c r="C52" t="s">
        <v>23</v>
      </c>
      <c r="D52" t="s">
        <v>18</v>
      </c>
      <c r="E52" t="s">
        <v>26</v>
      </c>
      <c r="F52" s="2">
        <v>41504</v>
      </c>
      <c r="G52" s="11">
        <f>YEAR(Table2[[#This Row],[Order Date]])</f>
        <v>2013</v>
      </c>
      <c r="H52">
        <v>918419539</v>
      </c>
      <c r="I52" s="2">
        <v>41535</v>
      </c>
      <c r="J52" s="3">
        <v>9606</v>
      </c>
      <c r="K52" s="5">
        <v>9</v>
      </c>
      <c r="L52" s="5">
        <v>7</v>
      </c>
      <c r="M52" s="8">
        <f>Table2[[#This Row],[Units Sold]]*Table2[[#This Row],[Unit Price]]</f>
        <v>86454</v>
      </c>
      <c r="N52" s="8">
        <f>Table2[[#This Row],[Unit Cost]]*Table2[[#This Row],[Units Sold]]</f>
        <v>67242</v>
      </c>
      <c r="O52" s="8">
        <f>Table2[[#This Row],[Total Revenue]]-Table2[[#This Row],[Total Cost]]</f>
        <v>19212</v>
      </c>
      <c r="P52" s="8">
        <f>Table2[[#This Row],[Gross Profit]]*0.95</f>
        <v>18251.399999999998</v>
      </c>
      <c r="Q52" s="14"/>
    </row>
    <row r="53" spans="1:17">
      <c r="A53" t="s">
        <v>64</v>
      </c>
      <c r="B53" t="s">
        <v>76</v>
      </c>
      <c r="C53" t="s">
        <v>17</v>
      </c>
      <c r="D53" t="s">
        <v>18</v>
      </c>
      <c r="E53" t="s">
        <v>30</v>
      </c>
      <c r="F53" s="2">
        <v>41358</v>
      </c>
      <c r="G53" s="11">
        <f>YEAR(Table2[[#This Row],[Order Date]])</f>
        <v>2013</v>
      </c>
      <c r="H53">
        <v>844530045</v>
      </c>
      <c r="I53" s="2">
        <v>41361</v>
      </c>
      <c r="J53" s="3">
        <v>4063</v>
      </c>
      <c r="K53" s="5">
        <v>206</v>
      </c>
      <c r="L53" s="5">
        <v>117</v>
      </c>
      <c r="M53" s="8">
        <f>Table2[[#This Row],[Units Sold]]*Table2[[#This Row],[Unit Price]]</f>
        <v>836978</v>
      </c>
      <c r="N53" s="8">
        <f>Table2[[#This Row],[Unit Cost]]*Table2[[#This Row],[Units Sold]]</f>
        <v>475371</v>
      </c>
      <c r="O53" s="8">
        <f>Table2[[#This Row],[Total Revenue]]-Table2[[#This Row],[Total Cost]]</f>
        <v>361607</v>
      </c>
      <c r="P53" s="8">
        <f>Table2[[#This Row],[Gross Profit]]*0.95</f>
        <v>343526.64999999997</v>
      </c>
      <c r="Q53" s="14"/>
    </row>
    <row r="54" spans="1:17">
      <c r="A54" t="s">
        <v>21</v>
      </c>
      <c r="B54" t="s">
        <v>77</v>
      </c>
      <c r="C54" t="s">
        <v>25</v>
      </c>
      <c r="D54" t="s">
        <v>14</v>
      </c>
      <c r="E54" t="s">
        <v>30</v>
      </c>
      <c r="F54" s="2">
        <v>40873</v>
      </c>
      <c r="G54" s="11">
        <f>YEAR(Table2[[#This Row],[Order Date]])</f>
        <v>2011</v>
      </c>
      <c r="H54">
        <v>441888415</v>
      </c>
      <c r="I54" s="2">
        <v>41091</v>
      </c>
      <c r="J54" s="3">
        <v>3457</v>
      </c>
      <c r="K54" s="5">
        <v>651</v>
      </c>
      <c r="L54" s="5">
        <v>525</v>
      </c>
      <c r="M54" s="8">
        <f>Table2[[#This Row],[Units Sold]]*Table2[[#This Row],[Unit Price]]</f>
        <v>2250507</v>
      </c>
      <c r="N54" s="8">
        <f>Table2[[#This Row],[Unit Cost]]*Table2[[#This Row],[Units Sold]]</f>
        <v>1814925</v>
      </c>
      <c r="O54" s="8">
        <f>Table2[[#This Row],[Total Revenue]]-Table2[[#This Row],[Total Cost]]</f>
        <v>435582</v>
      </c>
      <c r="P54" s="8">
        <f>Table2[[#This Row],[Gross Profit]]*0.95</f>
        <v>413802.89999999997</v>
      </c>
      <c r="Q54" s="14"/>
    </row>
    <row r="55" spans="1:17">
      <c r="A55" t="s">
        <v>21</v>
      </c>
      <c r="B55" t="s">
        <v>22</v>
      </c>
      <c r="C55" t="s">
        <v>23</v>
      </c>
      <c r="D55" t="s">
        <v>14</v>
      </c>
      <c r="E55" t="s">
        <v>15</v>
      </c>
      <c r="F55" s="2">
        <v>41534</v>
      </c>
      <c r="G55" s="11">
        <f>YEAR(Table2[[#This Row],[Order Date]])</f>
        <v>2013</v>
      </c>
      <c r="H55">
        <v>508980977</v>
      </c>
      <c r="I55" s="2">
        <v>41571</v>
      </c>
      <c r="J55" s="3">
        <v>7637</v>
      </c>
      <c r="K55" s="5">
        <v>9</v>
      </c>
      <c r="L55" s="5">
        <v>7</v>
      </c>
      <c r="M55" s="8">
        <f>Table2[[#This Row],[Units Sold]]*Table2[[#This Row],[Unit Price]]</f>
        <v>68733</v>
      </c>
      <c r="N55" s="8">
        <f>Table2[[#This Row],[Unit Cost]]*Table2[[#This Row],[Units Sold]]</f>
        <v>53459</v>
      </c>
      <c r="O55" s="8">
        <f>Table2[[#This Row],[Total Revenue]]-Table2[[#This Row],[Total Cost]]</f>
        <v>15274</v>
      </c>
      <c r="P55" s="8">
        <f>Table2[[#This Row],[Gross Profit]]*0.95</f>
        <v>14510.3</v>
      </c>
      <c r="Q55" s="14"/>
    </row>
    <row r="56" spans="1:17">
      <c r="A56" t="s">
        <v>21</v>
      </c>
      <c r="B56" t="s">
        <v>78</v>
      </c>
      <c r="C56" t="s">
        <v>38</v>
      </c>
      <c r="D56" t="s">
        <v>18</v>
      </c>
      <c r="E56" t="s">
        <v>19</v>
      </c>
      <c r="F56" s="2">
        <v>41068</v>
      </c>
      <c r="G56" s="11">
        <f>YEAR(Table2[[#This Row],[Order Date]])</f>
        <v>2012</v>
      </c>
      <c r="H56">
        <v>114606559</v>
      </c>
      <c r="I56" s="2">
        <v>41087</v>
      </c>
      <c r="J56" s="3">
        <v>3482</v>
      </c>
      <c r="K56" s="5">
        <v>109</v>
      </c>
      <c r="L56" s="5">
        <v>36</v>
      </c>
      <c r="M56" s="8">
        <f>Table2[[#This Row],[Units Sold]]*Table2[[#This Row],[Unit Price]]</f>
        <v>379538</v>
      </c>
      <c r="N56" s="8">
        <f>Table2[[#This Row],[Unit Cost]]*Table2[[#This Row],[Units Sold]]</f>
        <v>125352</v>
      </c>
      <c r="O56" s="8">
        <f>Table2[[#This Row],[Total Revenue]]-Table2[[#This Row],[Total Cost]]</f>
        <v>254186</v>
      </c>
      <c r="P56" s="8">
        <f>Table2[[#This Row],[Gross Profit]]*0.95</f>
        <v>241476.69999999998</v>
      </c>
      <c r="Q56" s="14"/>
    </row>
    <row r="57" spans="1:17">
      <c r="A57" t="s">
        <v>11</v>
      </c>
      <c r="B57" t="s">
        <v>79</v>
      </c>
      <c r="C57" t="s">
        <v>38</v>
      </c>
      <c r="D57" t="s">
        <v>14</v>
      </c>
      <c r="E57" t="s">
        <v>19</v>
      </c>
      <c r="F57" s="2">
        <v>40359</v>
      </c>
      <c r="G57" s="11">
        <f>YEAR(Table2[[#This Row],[Order Date]])</f>
        <v>2010</v>
      </c>
      <c r="H57">
        <v>647876489</v>
      </c>
      <c r="I57" s="2">
        <v>40186</v>
      </c>
      <c r="J57" s="3">
        <v>9905</v>
      </c>
      <c r="K57" s="5">
        <v>109</v>
      </c>
      <c r="L57" s="5">
        <v>36</v>
      </c>
      <c r="M57" s="8">
        <f>Table2[[#This Row],[Units Sold]]*Table2[[#This Row],[Unit Price]]</f>
        <v>1079645</v>
      </c>
      <c r="N57" s="8">
        <f>Table2[[#This Row],[Unit Cost]]*Table2[[#This Row],[Units Sold]]</f>
        <v>356580</v>
      </c>
      <c r="O57" s="8">
        <f>Table2[[#This Row],[Total Revenue]]-Table2[[#This Row],[Total Cost]]</f>
        <v>723065</v>
      </c>
      <c r="P57" s="8">
        <f>Table2[[#This Row],[Gross Profit]]*0.95</f>
        <v>686911.75</v>
      </c>
      <c r="Q57" s="14"/>
    </row>
    <row r="58" spans="1:17">
      <c r="A58" t="s">
        <v>20</v>
      </c>
      <c r="B58" t="s">
        <v>80</v>
      </c>
      <c r="C58" t="s">
        <v>44</v>
      </c>
      <c r="D58" t="s">
        <v>14</v>
      </c>
      <c r="E58" t="s">
        <v>15</v>
      </c>
      <c r="F58" s="2">
        <v>42058</v>
      </c>
      <c r="G58" s="11">
        <f>YEAR(Table2[[#This Row],[Order Date]])</f>
        <v>2015</v>
      </c>
      <c r="H58">
        <v>868214595</v>
      </c>
      <c r="I58" s="2">
        <v>42038</v>
      </c>
      <c r="J58" s="3">
        <v>2847</v>
      </c>
      <c r="K58" s="5">
        <v>437</v>
      </c>
      <c r="L58" s="5">
        <v>263</v>
      </c>
      <c r="M58" s="8">
        <f>Table2[[#This Row],[Units Sold]]*Table2[[#This Row],[Unit Price]]</f>
        <v>1244139</v>
      </c>
      <c r="N58" s="8">
        <f>Table2[[#This Row],[Unit Cost]]*Table2[[#This Row],[Units Sold]]</f>
        <v>748761</v>
      </c>
      <c r="O58" s="8">
        <f>Table2[[#This Row],[Total Revenue]]-Table2[[#This Row],[Total Cost]]</f>
        <v>495378</v>
      </c>
      <c r="P58" s="8">
        <f>Table2[[#This Row],[Gross Profit]]*0.95</f>
        <v>470609.1</v>
      </c>
      <c r="Q58" s="14"/>
    </row>
    <row r="59" spans="1:17">
      <c r="A59" t="s">
        <v>20</v>
      </c>
      <c r="B59" t="s">
        <v>81</v>
      </c>
      <c r="C59" t="s">
        <v>29</v>
      </c>
      <c r="D59" t="s">
        <v>18</v>
      </c>
      <c r="E59" t="s">
        <v>26</v>
      </c>
      <c r="F59" s="2">
        <v>40913</v>
      </c>
      <c r="G59" s="11">
        <f>YEAR(Table2[[#This Row],[Order Date]])</f>
        <v>2012</v>
      </c>
      <c r="H59">
        <v>955357205</v>
      </c>
      <c r="I59" s="2">
        <v>40953</v>
      </c>
      <c r="J59" s="3">
        <v>282</v>
      </c>
      <c r="K59" s="5">
        <v>668</v>
      </c>
      <c r="L59" s="5">
        <v>503</v>
      </c>
      <c r="M59" s="8">
        <f>Table2[[#This Row],[Units Sold]]*Table2[[#This Row],[Unit Price]]</f>
        <v>188376</v>
      </c>
      <c r="N59" s="8">
        <f>Table2[[#This Row],[Unit Cost]]*Table2[[#This Row],[Units Sold]]</f>
        <v>141846</v>
      </c>
      <c r="O59" s="8">
        <f>Table2[[#This Row],[Total Revenue]]-Table2[[#This Row],[Total Cost]]</f>
        <v>46530</v>
      </c>
      <c r="P59" s="8">
        <f>Table2[[#This Row],[Gross Profit]]*0.95</f>
        <v>44203.5</v>
      </c>
      <c r="Q59" s="14"/>
    </row>
    <row r="60" spans="1:17">
      <c r="A60" t="s">
        <v>21</v>
      </c>
      <c r="B60" t="s">
        <v>62</v>
      </c>
      <c r="C60" t="s">
        <v>44</v>
      </c>
      <c r="D60" t="s">
        <v>14</v>
      </c>
      <c r="E60" t="s">
        <v>15</v>
      </c>
      <c r="F60" s="2">
        <v>41736</v>
      </c>
      <c r="G60" s="11">
        <f>YEAR(Table2[[#This Row],[Order Date]])</f>
        <v>2014</v>
      </c>
      <c r="H60">
        <v>259353148</v>
      </c>
      <c r="I60" s="2">
        <v>41748</v>
      </c>
      <c r="J60" s="3">
        <v>7215</v>
      </c>
      <c r="K60" s="5">
        <v>437</v>
      </c>
      <c r="L60" s="5">
        <v>263</v>
      </c>
      <c r="M60" s="8">
        <f>Table2[[#This Row],[Units Sold]]*Table2[[#This Row],[Unit Price]]</f>
        <v>3152955</v>
      </c>
      <c r="N60" s="8">
        <f>Table2[[#This Row],[Unit Cost]]*Table2[[#This Row],[Units Sold]]</f>
        <v>1897545</v>
      </c>
      <c r="O60" s="8">
        <f>Table2[[#This Row],[Total Revenue]]-Table2[[#This Row],[Total Cost]]</f>
        <v>1255410</v>
      </c>
      <c r="P60" s="8">
        <f>Table2[[#This Row],[Gross Profit]]*0.95</f>
        <v>1192639.5</v>
      </c>
      <c r="Q60" s="14"/>
    </row>
    <row r="61" spans="1:17">
      <c r="A61" t="s">
        <v>11</v>
      </c>
      <c r="B61" t="s">
        <v>60</v>
      </c>
      <c r="C61" t="s">
        <v>17</v>
      </c>
      <c r="D61" t="s">
        <v>14</v>
      </c>
      <c r="E61" t="s">
        <v>15</v>
      </c>
      <c r="F61" s="2">
        <v>41434</v>
      </c>
      <c r="G61" s="11">
        <f>YEAR(Table2[[#This Row],[Order Date]])</f>
        <v>2013</v>
      </c>
      <c r="H61">
        <v>450563752</v>
      </c>
      <c r="I61" s="2">
        <v>41312</v>
      </c>
      <c r="J61" s="3">
        <v>682</v>
      </c>
      <c r="K61" s="5">
        <v>206</v>
      </c>
      <c r="L61" s="5">
        <v>117</v>
      </c>
      <c r="M61" s="8">
        <f>Table2[[#This Row],[Units Sold]]*Table2[[#This Row],[Unit Price]]</f>
        <v>140492</v>
      </c>
      <c r="N61" s="8">
        <f>Table2[[#This Row],[Unit Cost]]*Table2[[#This Row],[Units Sold]]</f>
        <v>79794</v>
      </c>
      <c r="O61" s="8">
        <f>Table2[[#This Row],[Total Revenue]]-Table2[[#This Row],[Total Cost]]</f>
        <v>60698</v>
      </c>
      <c r="P61" s="8">
        <f>Table2[[#This Row],[Gross Profit]]*0.95</f>
        <v>57663.1</v>
      </c>
      <c r="Q61" s="14"/>
    </row>
    <row r="62" spans="1:17">
      <c r="A62" t="s">
        <v>20</v>
      </c>
      <c r="B62" t="s">
        <v>82</v>
      </c>
      <c r="C62" t="s">
        <v>13</v>
      </c>
      <c r="D62" t="s">
        <v>18</v>
      </c>
      <c r="E62" t="s">
        <v>26</v>
      </c>
      <c r="F62" s="2">
        <v>41451</v>
      </c>
      <c r="G62" s="11">
        <f>YEAR(Table2[[#This Row],[Order Date]])</f>
        <v>2013</v>
      </c>
      <c r="H62">
        <v>569662845</v>
      </c>
      <c r="I62" s="2">
        <v>41281</v>
      </c>
      <c r="J62" s="3">
        <v>4750</v>
      </c>
      <c r="K62" s="5">
        <v>255</v>
      </c>
      <c r="L62" s="5">
        <v>159</v>
      </c>
      <c r="M62" s="8">
        <f>Table2[[#This Row],[Units Sold]]*Table2[[#This Row],[Unit Price]]</f>
        <v>1211250</v>
      </c>
      <c r="N62" s="8">
        <f>Table2[[#This Row],[Unit Cost]]*Table2[[#This Row],[Units Sold]]</f>
        <v>755250</v>
      </c>
      <c r="O62" s="8">
        <f>Table2[[#This Row],[Total Revenue]]-Table2[[#This Row],[Total Cost]]</f>
        <v>456000</v>
      </c>
      <c r="P62" s="8">
        <f>Table2[[#This Row],[Gross Profit]]*0.95</f>
        <v>433200</v>
      </c>
      <c r="Q62" s="14"/>
    </row>
    <row r="63" spans="1:17">
      <c r="A63" t="s">
        <v>21</v>
      </c>
      <c r="B63" t="s">
        <v>45</v>
      </c>
      <c r="C63" t="s">
        <v>25</v>
      </c>
      <c r="D63" t="s">
        <v>18</v>
      </c>
      <c r="E63" t="s">
        <v>30</v>
      </c>
      <c r="F63" s="2">
        <v>40854</v>
      </c>
      <c r="G63" s="11">
        <f>YEAR(Table2[[#This Row],[Order Date]])</f>
        <v>2011</v>
      </c>
      <c r="H63">
        <v>177636754</v>
      </c>
      <c r="I63" s="2">
        <v>40862</v>
      </c>
      <c r="J63" s="3">
        <v>5518</v>
      </c>
      <c r="K63" s="5">
        <v>651</v>
      </c>
      <c r="L63" s="5">
        <v>525</v>
      </c>
      <c r="M63" s="8">
        <f>Table2[[#This Row],[Units Sold]]*Table2[[#This Row],[Unit Price]]</f>
        <v>3592218</v>
      </c>
      <c r="N63" s="8">
        <f>Table2[[#This Row],[Unit Cost]]*Table2[[#This Row],[Units Sold]]</f>
        <v>2896950</v>
      </c>
      <c r="O63" s="8">
        <f>Table2[[#This Row],[Total Revenue]]-Table2[[#This Row],[Total Cost]]</f>
        <v>695268</v>
      </c>
      <c r="P63" s="8">
        <f>Table2[[#This Row],[Gross Profit]]*0.95</f>
        <v>660504.6</v>
      </c>
      <c r="Q63" s="14"/>
    </row>
    <row r="64" spans="1:17">
      <c r="A64" t="s">
        <v>64</v>
      </c>
      <c r="B64" t="s">
        <v>83</v>
      </c>
      <c r="C64" t="s">
        <v>38</v>
      </c>
      <c r="D64" t="s">
        <v>14</v>
      </c>
      <c r="E64" t="s">
        <v>15</v>
      </c>
      <c r="F64" s="2">
        <v>40481</v>
      </c>
      <c r="G64" s="11">
        <f>YEAR(Table2[[#This Row],[Order Date]])</f>
        <v>2010</v>
      </c>
      <c r="H64">
        <v>705784308</v>
      </c>
      <c r="I64" s="2">
        <v>40499</v>
      </c>
      <c r="J64" s="3">
        <v>6116</v>
      </c>
      <c r="K64" s="5">
        <v>109</v>
      </c>
      <c r="L64" s="5">
        <v>36</v>
      </c>
      <c r="M64" s="8">
        <f>Table2[[#This Row],[Units Sold]]*Table2[[#This Row],[Unit Price]]</f>
        <v>666644</v>
      </c>
      <c r="N64" s="8">
        <f>Table2[[#This Row],[Unit Cost]]*Table2[[#This Row],[Units Sold]]</f>
        <v>220176</v>
      </c>
      <c r="O64" s="8">
        <f>Table2[[#This Row],[Total Revenue]]-Table2[[#This Row],[Total Cost]]</f>
        <v>446468</v>
      </c>
      <c r="P64" s="8">
        <f>Table2[[#This Row],[Gross Profit]]*0.95</f>
        <v>424144.6</v>
      </c>
      <c r="Q64" s="14"/>
    </row>
    <row r="65" spans="1:17">
      <c r="A65" t="s">
        <v>16</v>
      </c>
      <c r="B65" t="s">
        <v>84</v>
      </c>
      <c r="C65" t="s">
        <v>44</v>
      </c>
      <c r="D65" t="s">
        <v>14</v>
      </c>
      <c r="E65" t="s">
        <v>15</v>
      </c>
      <c r="F65" s="2">
        <v>41560</v>
      </c>
      <c r="G65" s="11">
        <f>YEAR(Table2[[#This Row],[Order Date]])</f>
        <v>2013</v>
      </c>
      <c r="H65">
        <v>505716836</v>
      </c>
      <c r="I65" s="2">
        <v>41594</v>
      </c>
      <c r="J65" s="3">
        <v>1705</v>
      </c>
      <c r="K65" s="5">
        <v>437</v>
      </c>
      <c r="L65" s="5">
        <v>263</v>
      </c>
      <c r="M65" s="8">
        <f>Table2[[#This Row],[Units Sold]]*Table2[[#This Row],[Unit Price]]</f>
        <v>745085</v>
      </c>
      <c r="N65" s="8">
        <f>Table2[[#This Row],[Unit Cost]]*Table2[[#This Row],[Units Sold]]</f>
        <v>448415</v>
      </c>
      <c r="O65" s="8">
        <f>Table2[[#This Row],[Total Revenue]]-Table2[[#This Row],[Total Cost]]</f>
        <v>296670</v>
      </c>
      <c r="P65" s="8">
        <f>Table2[[#This Row],[Gross Profit]]*0.95</f>
        <v>281836.5</v>
      </c>
      <c r="Q65" s="14"/>
    </row>
    <row r="66" spans="1:17">
      <c r="A66" t="s">
        <v>21</v>
      </c>
      <c r="B66" t="s">
        <v>24</v>
      </c>
      <c r="C66" t="s">
        <v>44</v>
      </c>
      <c r="D66" t="s">
        <v>14</v>
      </c>
      <c r="E66" t="s">
        <v>15</v>
      </c>
      <c r="F66" s="2">
        <v>41558</v>
      </c>
      <c r="G66" s="11">
        <f>YEAR(Table2[[#This Row],[Order Date]])</f>
        <v>2013</v>
      </c>
      <c r="H66">
        <v>699358165</v>
      </c>
      <c r="I66" s="2">
        <v>41603</v>
      </c>
      <c r="J66" s="3">
        <v>4477</v>
      </c>
      <c r="K66" s="5">
        <v>437</v>
      </c>
      <c r="L66" s="5">
        <v>263</v>
      </c>
      <c r="M66" s="8">
        <f>Table2[[#This Row],[Units Sold]]*Table2[[#This Row],[Unit Price]]</f>
        <v>1956449</v>
      </c>
      <c r="N66" s="8">
        <f>Table2[[#This Row],[Unit Cost]]*Table2[[#This Row],[Units Sold]]</f>
        <v>1177451</v>
      </c>
      <c r="O66" s="8">
        <f>Table2[[#This Row],[Total Revenue]]-Table2[[#This Row],[Total Cost]]</f>
        <v>778998</v>
      </c>
      <c r="P66" s="8">
        <f>Table2[[#This Row],[Gross Profit]]*0.95</f>
        <v>740048.1</v>
      </c>
      <c r="Q66" s="14"/>
    </row>
    <row r="67" spans="1:17">
      <c r="A67" t="s">
        <v>21</v>
      </c>
      <c r="B67" t="s">
        <v>85</v>
      </c>
      <c r="C67" t="s">
        <v>33</v>
      </c>
      <c r="D67" t="s">
        <v>14</v>
      </c>
      <c r="E67" t="s">
        <v>26</v>
      </c>
      <c r="F67" s="2">
        <v>41098</v>
      </c>
      <c r="G67" s="11">
        <f>YEAR(Table2[[#This Row],[Order Date]])</f>
        <v>2012</v>
      </c>
      <c r="H67">
        <v>228944623</v>
      </c>
      <c r="I67" s="2">
        <v>41159</v>
      </c>
      <c r="J67" s="3">
        <v>8656</v>
      </c>
      <c r="K67" s="5">
        <v>82</v>
      </c>
      <c r="L67" s="5">
        <v>57</v>
      </c>
      <c r="M67" s="8">
        <f>Table2[[#This Row],[Units Sold]]*Table2[[#This Row],[Unit Price]]</f>
        <v>709792</v>
      </c>
      <c r="N67" s="8">
        <f>Table2[[#This Row],[Unit Cost]]*Table2[[#This Row],[Units Sold]]</f>
        <v>493392</v>
      </c>
      <c r="O67" s="8">
        <f>Table2[[#This Row],[Total Revenue]]-Table2[[#This Row],[Total Cost]]</f>
        <v>216400</v>
      </c>
      <c r="P67" s="8">
        <f>Table2[[#This Row],[Gross Profit]]*0.95</f>
        <v>205580</v>
      </c>
      <c r="Q67" s="14"/>
    </row>
    <row r="68" spans="1:17">
      <c r="A68" t="s">
        <v>16</v>
      </c>
      <c r="B68" t="s">
        <v>86</v>
      </c>
      <c r="C68" t="s">
        <v>38</v>
      </c>
      <c r="D68" t="s">
        <v>14</v>
      </c>
      <c r="E68" t="s">
        <v>30</v>
      </c>
      <c r="F68" s="2">
        <v>42576</v>
      </c>
      <c r="G68" s="11">
        <f>YEAR(Table2[[#This Row],[Order Date]])</f>
        <v>2016</v>
      </c>
      <c r="H68">
        <v>807025039</v>
      </c>
      <c r="I68" s="2">
        <v>42560</v>
      </c>
      <c r="J68" s="3">
        <v>5498</v>
      </c>
      <c r="K68" s="5">
        <v>109</v>
      </c>
      <c r="L68" s="5">
        <v>36</v>
      </c>
      <c r="M68" s="8">
        <f>Table2[[#This Row],[Units Sold]]*Table2[[#This Row],[Unit Price]]</f>
        <v>599282</v>
      </c>
      <c r="N68" s="8">
        <f>Table2[[#This Row],[Unit Cost]]*Table2[[#This Row],[Units Sold]]</f>
        <v>197928</v>
      </c>
      <c r="O68" s="8">
        <f>Table2[[#This Row],[Total Revenue]]-Table2[[#This Row],[Total Cost]]</f>
        <v>401354</v>
      </c>
      <c r="P68" s="8">
        <f>Table2[[#This Row],[Gross Profit]]*0.95</f>
        <v>381286.3</v>
      </c>
      <c r="Q68" s="14"/>
    </row>
    <row r="69" spans="1:17">
      <c r="A69" t="s">
        <v>20</v>
      </c>
      <c r="B69" t="s">
        <v>87</v>
      </c>
      <c r="C69" t="s">
        <v>25</v>
      </c>
      <c r="D69" t="s">
        <v>14</v>
      </c>
      <c r="E69" t="s">
        <v>15</v>
      </c>
      <c r="F69" s="2">
        <v>40475</v>
      </c>
      <c r="G69" s="11">
        <f>YEAR(Table2[[#This Row],[Order Date]])</f>
        <v>2010</v>
      </c>
      <c r="H69">
        <v>166460740</v>
      </c>
      <c r="I69" s="2">
        <v>40499</v>
      </c>
      <c r="J69" s="3">
        <v>8287</v>
      </c>
      <c r="K69" s="5">
        <v>651</v>
      </c>
      <c r="L69" s="5">
        <v>525</v>
      </c>
      <c r="M69" s="8">
        <f>Table2[[#This Row],[Units Sold]]*Table2[[#This Row],[Unit Price]]</f>
        <v>5394837</v>
      </c>
      <c r="N69" s="8">
        <f>Table2[[#This Row],[Unit Cost]]*Table2[[#This Row],[Units Sold]]</f>
        <v>4350675</v>
      </c>
      <c r="O69" s="8">
        <f>Table2[[#This Row],[Total Revenue]]-Table2[[#This Row],[Total Cost]]</f>
        <v>1044162</v>
      </c>
      <c r="P69" s="8">
        <f>Table2[[#This Row],[Gross Profit]]*0.95</f>
        <v>991953.89999999991</v>
      </c>
      <c r="Q69" s="14"/>
    </row>
    <row r="70" spans="1:17">
      <c r="A70" t="s">
        <v>21</v>
      </c>
      <c r="B70" t="s">
        <v>88</v>
      </c>
      <c r="C70" t="s">
        <v>38</v>
      </c>
      <c r="D70" t="s">
        <v>14</v>
      </c>
      <c r="E70" t="s">
        <v>26</v>
      </c>
      <c r="F70" s="2">
        <v>42119</v>
      </c>
      <c r="G70" s="11">
        <f>YEAR(Table2[[#This Row],[Order Date]])</f>
        <v>2015</v>
      </c>
      <c r="H70">
        <v>610425555</v>
      </c>
      <c r="I70" s="2">
        <v>42152</v>
      </c>
      <c r="J70" s="3">
        <v>7342</v>
      </c>
      <c r="K70" s="5">
        <v>109</v>
      </c>
      <c r="L70" s="5">
        <v>36</v>
      </c>
      <c r="M70" s="8">
        <f>Table2[[#This Row],[Units Sold]]*Table2[[#This Row],[Unit Price]]</f>
        <v>800278</v>
      </c>
      <c r="N70" s="8">
        <f>Table2[[#This Row],[Unit Cost]]*Table2[[#This Row],[Units Sold]]</f>
        <v>264312</v>
      </c>
      <c r="O70" s="8">
        <f>Table2[[#This Row],[Total Revenue]]-Table2[[#This Row],[Total Cost]]</f>
        <v>535966</v>
      </c>
      <c r="P70" s="8">
        <f>Table2[[#This Row],[Gross Profit]]*0.95</f>
        <v>509167.69999999995</v>
      </c>
      <c r="Q70" s="14"/>
    </row>
    <row r="71" spans="1:17">
      <c r="A71" t="s">
        <v>35</v>
      </c>
      <c r="B71" t="s">
        <v>47</v>
      </c>
      <c r="C71" t="s">
        <v>25</v>
      </c>
      <c r="D71" t="s">
        <v>18</v>
      </c>
      <c r="E71" t="s">
        <v>30</v>
      </c>
      <c r="F71" s="2">
        <v>41387</v>
      </c>
      <c r="G71" s="11">
        <f>YEAR(Table2[[#This Row],[Order Date]])</f>
        <v>2013</v>
      </c>
      <c r="H71">
        <v>462405812</v>
      </c>
      <c r="I71" s="2">
        <v>41414</v>
      </c>
      <c r="J71" s="3">
        <v>5010</v>
      </c>
      <c r="K71" s="5">
        <v>651</v>
      </c>
      <c r="L71" s="5">
        <v>525</v>
      </c>
      <c r="M71" s="8">
        <f>Table2[[#This Row],[Units Sold]]*Table2[[#This Row],[Unit Price]]</f>
        <v>3261510</v>
      </c>
      <c r="N71" s="8">
        <f>Table2[[#This Row],[Unit Cost]]*Table2[[#This Row],[Units Sold]]</f>
        <v>2630250</v>
      </c>
      <c r="O71" s="8">
        <f>Table2[[#This Row],[Total Revenue]]-Table2[[#This Row],[Total Cost]]</f>
        <v>631260</v>
      </c>
      <c r="P71" s="8">
        <f>Table2[[#This Row],[Gross Profit]]*0.95</f>
        <v>599697</v>
      </c>
      <c r="Q71" s="14"/>
    </row>
    <row r="72" spans="1:17">
      <c r="A72" t="s">
        <v>64</v>
      </c>
      <c r="B72" t="s">
        <v>83</v>
      </c>
      <c r="C72" t="s">
        <v>23</v>
      </c>
      <c r="D72" t="s">
        <v>18</v>
      </c>
      <c r="E72" t="s">
        <v>26</v>
      </c>
      <c r="F72" s="2">
        <v>42230</v>
      </c>
      <c r="G72" s="11">
        <f>YEAR(Table2[[#This Row],[Order Date]])</f>
        <v>2015</v>
      </c>
      <c r="H72">
        <v>816200339</v>
      </c>
      <c r="I72" s="2">
        <v>42277</v>
      </c>
      <c r="J72" s="3">
        <v>673</v>
      </c>
      <c r="K72" s="5">
        <v>9</v>
      </c>
      <c r="L72" s="5">
        <v>7</v>
      </c>
      <c r="M72" s="8">
        <f>Table2[[#This Row],[Units Sold]]*Table2[[#This Row],[Unit Price]]</f>
        <v>6057</v>
      </c>
      <c r="N72" s="8">
        <f>Table2[[#This Row],[Unit Cost]]*Table2[[#This Row],[Units Sold]]</f>
        <v>4711</v>
      </c>
      <c r="O72" s="8">
        <f>Table2[[#This Row],[Total Revenue]]-Table2[[#This Row],[Total Cost]]</f>
        <v>1346</v>
      </c>
      <c r="P72" s="8">
        <f>Table2[[#This Row],[Gross Profit]]*0.95</f>
        <v>1278.7</v>
      </c>
      <c r="Q72" s="14"/>
    </row>
    <row r="73" spans="1:17">
      <c r="A73" t="s">
        <v>21</v>
      </c>
      <c r="B73" t="s">
        <v>89</v>
      </c>
      <c r="C73" t="s">
        <v>46</v>
      </c>
      <c r="D73" t="s">
        <v>18</v>
      </c>
      <c r="E73" t="s">
        <v>19</v>
      </c>
      <c r="F73" s="2">
        <v>40689</v>
      </c>
      <c r="G73" s="11">
        <f>YEAR(Table2[[#This Row],[Order Date]])</f>
        <v>2011</v>
      </c>
      <c r="H73">
        <v>585920464</v>
      </c>
      <c r="I73" s="2">
        <v>40739</v>
      </c>
      <c r="J73" s="3">
        <v>5741</v>
      </c>
      <c r="K73" s="5">
        <v>47</v>
      </c>
      <c r="L73" s="5">
        <v>32</v>
      </c>
      <c r="M73" s="8">
        <f>Table2[[#This Row],[Units Sold]]*Table2[[#This Row],[Unit Price]]</f>
        <v>269827</v>
      </c>
      <c r="N73" s="8">
        <f>Table2[[#This Row],[Unit Cost]]*Table2[[#This Row],[Units Sold]]</f>
        <v>183712</v>
      </c>
      <c r="O73" s="8">
        <f>Table2[[#This Row],[Total Revenue]]-Table2[[#This Row],[Total Cost]]</f>
        <v>86115</v>
      </c>
      <c r="P73" s="8">
        <f>Table2[[#This Row],[Gross Profit]]*0.95</f>
        <v>81809.25</v>
      </c>
      <c r="Q73" s="14"/>
    </row>
    <row r="74" spans="1:17">
      <c r="A74" t="s">
        <v>21</v>
      </c>
      <c r="B74" t="s">
        <v>62</v>
      </c>
      <c r="C74" t="s">
        <v>17</v>
      </c>
      <c r="D74" t="s">
        <v>18</v>
      </c>
      <c r="E74" t="s">
        <v>15</v>
      </c>
      <c r="F74" s="2">
        <v>42875</v>
      </c>
      <c r="G74" s="11">
        <f>YEAR(Table2[[#This Row],[Order Date]])</f>
        <v>2017</v>
      </c>
      <c r="H74">
        <v>555990016</v>
      </c>
      <c r="I74" s="2">
        <v>42903</v>
      </c>
      <c r="J74" s="3">
        <v>8656</v>
      </c>
      <c r="K74" s="5">
        <v>206</v>
      </c>
      <c r="L74" s="5">
        <v>117</v>
      </c>
      <c r="M74" s="8">
        <f>Table2[[#This Row],[Units Sold]]*Table2[[#This Row],[Unit Price]]</f>
        <v>1783136</v>
      </c>
      <c r="N74" s="8">
        <f>Table2[[#This Row],[Unit Cost]]*Table2[[#This Row],[Units Sold]]</f>
        <v>1012752</v>
      </c>
      <c r="O74" s="8">
        <f>Table2[[#This Row],[Total Revenue]]-Table2[[#This Row],[Total Cost]]</f>
        <v>770384</v>
      </c>
      <c r="P74" s="8">
        <f>Table2[[#This Row],[Gross Profit]]*0.95</f>
        <v>731864.79999999993</v>
      </c>
      <c r="Q74" s="14"/>
    </row>
    <row r="75" spans="1:17">
      <c r="A75" t="s">
        <v>64</v>
      </c>
      <c r="B75" t="s">
        <v>90</v>
      </c>
      <c r="C75" t="s">
        <v>44</v>
      </c>
      <c r="D75" t="s">
        <v>14</v>
      </c>
      <c r="E75" t="s">
        <v>26</v>
      </c>
      <c r="F75" s="2">
        <v>41460</v>
      </c>
      <c r="G75" s="11">
        <f>YEAR(Table2[[#This Row],[Order Date]])</f>
        <v>2013</v>
      </c>
      <c r="H75">
        <v>231145322</v>
      </c>
      <c r="I75" s="2">
        <v>41502</v>
      </c>
      <c r="J75" s="3">
        <v>9892</v>
      </c>
      <c r="K75" s="5">
        <v>437</v>
      </c>
      <c r="L75" s="5">
        <v>263</v>
      </c>
      <c r="M75" s="8">
        <f>Table2[[#This Row],[Units Sold]]*Table2[[#This Row],[Unit Price]]</f>
        <v>4322804</v>
      </c>
      <c r="N75" s="8">
        <f>Table2[[#This Row],[Unit Cost]]*Table2[[#This Row],[Units Sold]]</f>
        <v>2601596</v>
      </c>
      <c r="O75" s="8">
        <f>Table2[[#This Row],[Total Revenue]]-Table2[[#This Row],[Total Cost]]</f>
        <v>1721208</v>
      </c>
      <c r="P75" s="8">
        <f>Table2[[#This Row],[Gross Profit]]*0.95</f>
        <v>1635147.5999999999</v>
      </c>
      <c r="Q75" s="14"/>
    </row>
    <row r="76" spans="1:17">
      <c r="A76" t="s">
        <v>91</v>
      </c>
      <c r="B76" t="s">
        <v>92</v>
      </c>
      <c r="C76" t="s">
        <v>29</v>
      </c>
      <c r="D76" t="s">
        <v>14</v>
      </c>
      <c r="E76" t="s">
        <v>19</v>
      </c>
      <c r="F76" s="2">
        <v>41949</v>
      </c>
      <c r="G76" s="11">
        <f>YEAR(Table2[[#This Row],[Order Date]])</f>
        <v>2014</v>
      </c>
      <c r="H76">
        <v>986435210</v>
      </c>
      <c r="I76" s="2">
        <v>41985</v>
      </c>
      <c r="J76" s="3">
        <v>6954</v>
      </c>
      <c r="K76" s="5">
        <v>668</v>
      </c>
      <c r="L76" s="5">
        <v>503</v>
      </c>
      <c r="M76" s="8">
        <f>Table2[[#This Row],[Units Sold]]*Table2[[#This Row],[Unit Price]]</f>
        <v>4645272</v>
      </c>
      <c r="N76" s="8">
        <f>Table2[[#This Row],[Unit Cost]]*Table2[[#This Row],[Units Sold]]</f>
        <v>3497862</v>
      </c>
      <c r="O76" s="8">
        <f>Table2[[#This Row],[Total Revenue]]-Table2[[#This Row],[Total Cost]]</f>
        <v>1147410</v>
      </c>
      <c r="P76" s="8">
        <f>Table2[[#This Row],[Gross Profit]]*0.95</f>
        <v>1090039.5</v>
      </c>
      <c r="Q76" s="14"/>
    </row>
    <row r="77" spans="1:17">
      <c r="A77" t="s">
        <v>11</v>
      </c>
      <c r="B77" t="s">
        <v>93</v>
      </c>
      <c r="C77" t="s">
        <v>46</v>
      </c>
      <c r="D77" t="s">
        <v>18</v>
      </c>
      <c r="E77" t="s">
        <v>19</v>
      </c>
      <c r="F77" s="2">
        <v>41940</v>
      </c>
      <c r="G77" s="11">
        <f>YEAR(Table2[[#This Row],[Order Date]])</f>
        <v>2014</v>
      </c>
      <c r="H77">
        <v>217221009</v>
      </c>
      <c r="I77" s="2">
        <v>41958</v>
      </c>
      <c r="J77" s="3">
        <v>9379</v>
      </c>
      <c r="K77" s="5">
        <v>47</v>
      </c>
      <c r="L77" s="5">
        <v>32</v>
      </c>
      <c r="M77" s="8">
        <f>Table2[[#This Row],[Units Sold]]*Table2[[#This Row],[Unit Price]]</f>
        <v>440813</v>
      </c>
      <c r="N77" s="8">
        <f>Table2[[#This Row],[Unit Cost]]*Table2[[#This Row],[Units Sold]]</f>
        <v>300128</v>
      </c>
      <c r="O77" s="8">
        <f>Table2[[#This Row],[Total Revenue]]-Table2[[#This Row],[Total Cost]]</f>
        <v>140685</v>
      </c>
      <c r="P77" s="8">
        <f>Table2[[#This Row],[Gross Profit]]*0.95</f>
        <v>133650.75</v>
      </c>
      <c r="Q77" s="14"/>
    </row>
    <row r="78" spans="1:17">
      <c r="A78" t="s">
        <v>35</v>
      </c>
      <c r="B78" t="s">
        <v>94</v>
      </c>
      <c r="C78" t="s">
        <v>31</v>
      </c>
      <c r="D78" t="s">
        <v>14</v>
      </c>
      <c r="E78" t="s">
        <v>19</v>
      </c>
      <c r="F78" s="2">
        <v>40801</v>
      </c>
      <c r="G78" s="11">
        <f>YEAR(Table2[[#This Row],[Order Date]])</f>
        <v>2011</v>
      </c>
      <c r="H78">
        <v>789176547</v>
      </c>
      <c r="I78" s="2">
        <v>40839</v>
      </c>
      <c r="J78" s="3">
        <v>3732</v>
      </c>
      <c r="K78" s="5">
        <v>154</v>
      </c>
      <c r="L78" s="5">
        <v>91</v>
      </c>
      <c r="M78" s="8">
        <f>Table2[[#This Row],[Units Sold]]*Table2[[#This Row],[Unit Price]]</f>
        <v>574728</v>
      </c>
      <c r="N78" s="8">
        <f>Table2[[#This Row],[Unit Cost]]*Table2[[#This Row],[Units Sold]]</f>
        <v>339612</v>
      </c>
      <c r="O78" s="8">
        <f>Table2[[#This Row],[Total Revenue]]-Table2[[#This Row],[Total Cost]]</f>
        <v>235116</v>
      </c>
      <c r="P78" s="8">
        <f>Table2[[#This Row],[Gross Profit]]*0.95</f>
        <v>223360.19999999998</v>
      </c>
      <c r="Q78" s="14"/>
    </row>
    <row r="79" spans="1:17">
      <c r="A79" t="s">
        <v>20</v>
      </c>
      <c r="B79" t="s">
        <v>112</v>
      </c>
      <c r="C79" t="s">
        <v>13</v>
      </c>
      <c r="D79" t="s">
        <v>14</v>
      </c>
      <c r="E79" t="s">
        <v>15</v>
      </c>
      <c r="F79" s="2">
        <v>41058</v>
      </c>
      <c r="G79" s="11">
        <f>YEAR(Table2[[#This Row],[Order Date]])</f>
        <v>2012</v>
      </c>
      <c r="H79">
        <v>688288152</v>
      </c>
      <c r="I79" s="2">
        <v>40945</v>
      </c>
      <c r="J79" s="3">
        <v>8614</v>
      </c>
      <c r="K79" s="5">
        <v>255</v>
      </c>
      <c r="L79" s="5">
        <v>159</v>
      </c>
      <c r="M79" s="8">
        <f>Table2[[#This Row],[Units Sold]]*Table2[[#This Row],[Unit Price]]</f>
        <v>2196570</v>
      </c>
      <c r="N79" s="8">
        <f>Table2[[#This Row],[Unit Cost]]*Table2[[#This Row],[Units Sold]]</f>
        <v>1369626</v>
      </c>
      <c r="O79" s="8">
        <f>Table2[[#This Row],[Total Revenue]]-Table2[[#This Row],[Total Cost]]</f>
        <v>826944</v>
      </c>
      <c r="P79" s="8">
        <f>Table2[[#This Row],[Gross Profit]]*0.95</f>
        <v>785596.79999999993</v>
      </c>
      <c r="Q79" s="14"/>
    </row>
    <row r="80" spans="1:17">
      <c r="A80" t="s">
        <v>11</v>
      </c>
      <c r="B80" t="s">
        <v>95</v>
      </c>
      <c r="C80" t="s">
        <v>44</v>
      </c>
      <c r="D80" t="s">
        <v>18</v>
      </c>
      <c r="E80" t="s">
        <v>15</v>
      </c>
      <c r="F80" s="2">
        <v>41475</v>
      </c>
      <c r="G80" s="11">
        <f>YEAR(Table2[[#This Row],[Order Date]])</f>
        <v>2013</v>
      </c>
      <c r="H80">
        <v>670854651</v>
      </c>
      <c r="I80" s="2">
        <v>41463</v>
      </c>
      <c r="J80" s="3">
        <v>9654</v>
      </c>
      <c r="K80" s="5">
        <v>437</v>
      </c>
      <c r="L80" s="5">
        <v>263</v>
      </c>
      <c r="M80" s="8">
        <f>Table2[[#This Row],[Units Sold]]*Table2[[#This Row],[Unit Price]]</f>
        <v>4218798</v>
      </c>
      <c r="N80" s="8">
        <f>Table2[[#This Row],[Unit Cost]]*Table2[[#This Row],[Units Sold]]</f>
        <v>2539002</v>
      </c>
      <c r="O80" s="8">
        <f>Table2[[#This Row],[Total Revenue]]-Table2[[#This Row],[Total Cost]]</f>
        <v>1679796</v>
      </c>
      <c r="P80" s="8">
        <f>Table2[[#This Row],[Gross Profit]]*0.95</f>
        <v>1595806.2</v>
      </c>
      <c r="Q80" s="14"/>
    </row>
    <row r="81" spans="1:17">
      <c r="A81" t="s">
        <v>20</v>
      </c>
      <c r="B81" t="s">
        <v>96</v>
      </c>
      <c r="C81" t="s">
        <v>29</v>
      </c>
      <c r="D81" t="s">
        <v>14</v>
      </c>
      <c r="E81" t="s">
        <v>26</v>
      </c>
      <c r="F81" s="2">
        <v>41203</v>
      </c>
      <c r="G81" s="11">
        <f>YEAR(Table2[[#This Row],[Order Date]])</f>
        <v>2012</v>
      </c>
      <c r="H81">
        <v>213487374</v>
      </c>
      <c r="I81" s="2">
        <v>41243</v>
      </c>
      <c r="J81" s="3">
        <v>4513</v>
      </c>
      <c r="K81" s="5">
        <v>668</v>
      </c>
      <c r="L81" s="5">
        <v>503</v>
      </c>
      <c r="M81" s="8">
        <f>Table2[[#This Row],[Units Sold]]*Table2[[#This Row],[Unit Price]]</f>
        <v>3014684</v>
      </c>
      <c r="N81" s="8">
        <f>Table2[[#This Row],[Unit Cost]]*Table2[[#This Row],[Units Sold]]</f>
        <v>2270039</v>
      </c>
      <c r="O81" s="8">
        <f>Table2[[#This Row],[Total Revenue]]-Table2[[#This Row],[Total Cost]]</f>
        <v>744645</v>
      </c>
      <c r="P81" s="8">
        <f>Table2[[#This Row],[Gross Profit]]*0.95</f>
        <v>707412.75</v>
      </c>
      <c r="Q81" s="14"/>
    </row>
    <row r="82" spans="1:17">
      <c r="A82" t="s">
        <v>64</v>
      </c>
      <c r="B82" t="s">
        <v>97</v>
      </c>
      <c r="C82" t="s">
        <v>38</v>
      </c>
      <c r="D82" t="s">
        <v>18</v>
      </c>
      <c r="E82" t="s">
        <v>26</v>
      </c>
      <c r="F82" s="2">
        <v>41170</v>
      </c>
      <c r="G82" s="11">
        <f>YEAR(Table2[[#This Row],[Order Date]])</f>
        <v>2012</v>
      </c>
      <c r="H82">
        <v>663110148</v>
      </c>
      <c r="I82" s="2">
        <v>41131</v>
      </c>
      <c r="J82" s="3">
        <v>7884</v>
      </c>
      <c r="K82" s="5">
        <v>109</v>
      </c>
      <c r="L82" s="5">
        <v>36</v>
      </c>
      <c r="M82" s="8">
        <f>Table2[[#This Row],[Units Sold]]*Table2[[#This Row],[Unit Price]]</f>
        <v>859356</v>
      </c>
      <c r="N82" s="8">
        <f>Table2[[#This Row],[Unit Cost]]*Table2[[#This Row],[Units Sold]]</f>
        <v>283824</v>
      </c>
      <c r="O82" s="8">
        <f>Table2[[#This Row],[Total Revenue]]-Table2[[#This Row],[Total Cost]]</f>
        <v>575532</v>
      </c>
      <c r="P82" s="8">
        <f>Table2[[#This Row],[Gross Profit]]*0.95</f>
        <v>546755.4</v>
      </c>
      <c r="Q82" s="14"/>
    </row>
    <row r="83" spans="1:17">
      <c r="A83" t="s">
        <v>64</v>
      </c>
      <c r="B83" t="s">
        <v>98</v>
      </c>
      <c r="C83" t="s">
        <v>44</v>
      </c>
      <c r="D83" t="s">
        <v>18</v>
      </c>
      <c r="E83" t="s">
        <v>15</v>
      </c>
      <c r="F83" s="2">
        <v>42689</v>
      </c>
      <c r="G83" s="11">
        <f>YEAR(Table2[[#This Row],[Order Date]])</f>
        <v>2016</v>
      </c>
      <c r="H83">
        <v>286959302</v>
      </c>
      <c r="I83" s="2">
        <v>42594</v>
      </c>
      <c r="J83" s="3">
        <v>6489</v>
      </c>
      <c r="K83" s="5">
        <v>437</v>
      </c>
      <c r="L83" s="5">
        <v>263</v>
      </c>
      <c r="M83" s="8">
        <f>Table2[[#This Row],[Units Sold]]*Table2[[#This Row],[Unit Price]]</f>
        <v>2835693</v>
      </c>
      <c r="N83" s="8">
        <f>Table2[[#This Row],[Unit Cost]]*Table2[[#This Row],[Units Sold]]</f>
        <v>1706607</v>
      </c>
      <c r="O83" s="8">
        <f>Table2[[#This Row],[Total Revenue]]-Table2[[#This Row],[Total Cost]]</f>
        <v>1129086</v>
      </c>
      <c r="P83" s="8">
        <f>Table2[[#This Row],[Gross Profit]]*0.95</f>
        <v>1072631.7</v>
      </c>
      <c r="Q83" s="14"/>
    </row>
    <row r="84" spans="1:17">
      <c r="A84" t="s">
        <v>21</v>
      </c>
      <c r="B84" t="s">
        <v>99</v>
      </c>
      <c r="C84" t="s">
        <v>116</v>
      </c>
      <c r="D84" t="s">
        <v>18</v>
      </c>
      <c r="E84" t="s">
        <v>26</v>
      </c>
      <c r="F84" s="2">
        <v>40547</v>
      </c>
      <c r="G84" s="11">
        <f>YEAR(Table2[[#This Row],[Order Date]])</f>
        <v>2011</v>
      </c>
      <c r="H84">
        <v>122583663</v>
      </c>
      <c r="I84" s="2">
        <v>40664</v>
      </c>
      <c r="J84" s="3">
        <v>4085</v>
      </c>
      <c r="K84" s="5">
        <v>153</v>
      </c>
      <c r="L84" s="5">
        <v>97</v>
      </c>
      <c r="M84" s="8">
        <f>Table2[[#This Row],[Units Sold]]*Table2[[#This Row],[Unit Price]]</f>
        <v>625005</v>
      </c>
      <c r="N84" s="8">
        <f>Table2[[#This Row],[Unit Cost]]*Table2[[#This Row],[Units Sold]]</f>
        <v>396245</v>
      </c>
      <c r="O84" s="8">
        <f>Table2[[#This Row],[Total Revenue]]-Table2[[#This Row],[Total Cost]]</f>
        <v>228760</v>
      </c>
      <c r="P84" s="8">
        <f>Table2[[#This Row],[Gross Profit]]*0.95</f>
        <v>217322</v>
      </c>
      <c r="Q84" s="14"/>
    </row>
    <row r="85" spans="1:17">
      <c r="A85" t="s">
        <v>21</v>
      </c>
      <c r="B85" t="s">
        <v>100</v>
      </c>
      <c r="C85" t="s">
        <v>31</v>
      </c>
      <c r="D85" t="s">
        <v>18</v>
      </c>
      <c r="E85" t="s">
        <v>26</v>
      </c>
      <c r="F85" s="2">
        <v>40986</v>
      </c>
      <c r="G85" s="11">
        <f>YEAR(Table2[[#This Row],[Order Date]])</f>
        <v>2012</v>
      </c>
      <c r="H85">
        <v>827844560</v>
      </c>
      <c r="I85" s="2">
        <v>41094</v>
      </c>
      <c r="J85" s="3">
        <v>6457</v>
      </c>
      <c r="K85" s="5">
        <v>154</v>
      </c>
      <c r="L85" s="5">
        <v>91</v>
      </c>
      <c r="M85" s="8">
        <f>Table2[[#This Row],[Units Sold]]*Table2[[#This Row],[Unit Price]]</f>
        <v>994378</v>
      </c>
      <c r="N85" s="8">
        <f>Table2[[#This Row],[Unit Cost]]*Table2[[#This Row],[Units Sold]]</f>
        <v>587587</v>
      </c>
      <c r="O85" s="8">
        <f>Table2[[#This Row],[Total Revenue]]-Table2[[#This Row],[Total Cost]]</f>
        <v>406791</v>
      </c>
      <c r="P85" s="8">
        <f>Table2[[#This Row],[Gross Profit]]*0.95</f>
        <v>386451.44999999995</v>
      </c>
      <c r="Q85" s="14"/>
    </row>
    <row r="86" spans="1:17">
      <c r="A86" t="s">
        <v>91</v>
      </c>
      <c r="B86" t="s">
        <v>92</v>
      </c>
      <c r="C86" t="s">
        <v>33</v>
      </c>
      <c r="D86" t="s">
        <v>14</v>
      </c>
      <c r="E86" t="s">
        <v>26</v>
      </c>
      <c r="F86" s="2">
        <v>40956</v>
      </c>
      <c r="G86" s="11">
        <f>YEAR(Table2[[#This Row],[Order Date]])</f>
        <v>2012</v>
      </c>
      <c r="H86">
        <v>430915820</v>
      </c>
      <c r="I86" s="2">
        <v>40988</v>
      </c>
      <c r="J86" s="3">
        <v>6422</v>
      </c>
      <c r="K86" s="5">
        <v>82</v>
      </c>
      <c r="L86" s="5">
        <v>57</v>
      </c>
      <c r="M86" s="8">
        <f>Table2[[#This Row],[Units Sold]]*Table2[[#This Row],[Unit Price]]</f>
        <v>526604</v>
      </c>
      <c r="N86" s="8">
        <f>Table2[[#This Row],[Unit Cost]]*Table2[[#This Row],[Units Sold]]</f>
        <v>366054</v>
      </c>
      <c r="O86" s="8">
        <f>Table2[[#This Row],[Total Revenue]]-Table2[[#This Row],[Total Cost]]</f>
        <v>160550</v>
      </c>
      <c r="P86" s="8">
        <f>Table2[[#This Row],[Gross Profit]]*0.95</f>
        <v>152522.5</v>
      </c>
      <c r="Q86" s="14"/>
    </row>
    <row r="87" spans="1:17">
      <c r="A87" t="s">
        <v>21</v>
      </c>
      <c r="B87" t="s">
        <v>22</v>
      </c>
      <c r="C87" t="s">
        <v>46</v>
      </c>
      <c r="D87" t="s">
        <v>14</v>
      </c>
      <c r="E87" t="s">
        <v>19</v>
      </c>
      <c r="F87" s="2">
        <v>40559</v>
      </c>
      <c r="G87" s="11">
        <f>YEAR(Table2[[#This Row],[Order Date]])</f>
        <v>2011</v>
      </c>
      <c r="H87">
        <v>180283772</v>
      </c>
      <c r="I87" s="2">
        <v>40564</v>
      </c>
      <c r="J87" s="3">
        <v>8829</v>
      </c>
      <c r="K87" s="5">
        <v>47</v>
      </c>
      <c r="L87" s="5">
        <v>32</v>
      </c>
      <c r="M87" s="8">
        <f>Table2[[#This Row],[Units Sold]]*Table2[[#This Row],[Unit Price]]</f>
        <v>414963</v>
      </c>
      <c r="N87" s="8">
        <f>Table2[[#This Row],[Unit Cost]]*Table2[[#This Row],[Units Sold]]</f>
        <v>282528</v>
      </c>
      <c r="O87" s="8">
        <f>Table2[[#This Row],[Total Revenue]]-Table2[[#This Row],[Total Cost]]</f>
        <v>132435</v>
      </c>
      <c r="P87" s="8">
        <f>Table2[[#This Row],[Gross Profit]]*0.95</f>
        <v>125813.25</v>
      </c>
      <c r="Q87" s="14"/>
    </row>
    <row r="88" spans="1:17">
      <c r="A88" t="s">
        <v>21</v>
      </c>
      <c r="B88" t="s">
        <v>57</v>
      </c>
      <c r="C88" t="s">
        <v>13</v>
      </c>
      <c r="D88" t="s">
        <v>14</v>
      </c>
      <c r="E88" t="s">
        <v>30</v>
      </c>
      <c r="F88" s="2">
        <v>41673</v>
      </c>
      <c r="G88" s="11">
        <f>YEAR(Table2[[#This Row],[Order Date]])</f>
        <v>2014</v>
      </c>
      <c r="H88">
        <v>494747245</v>
      </c>
      <c r="I88" s="2">
        <v>41718</v>
      </c>
      <c r="J88" s="3">
        <v>5559</v>
      </c>
      <c r="K88" s="5">
        <v>255</v>
      </c>
      <c r="L88" s="5">
        <v>159</v>
      </c>
      <c r="M88" s="8">
        <f>Table2[[#This Row],[Units Sold]]*Table2[[#This Row],[Unit Price]]</f>
        <v>1417545</v>
      </c>
      <c r="N88" s="8">
        <f>Table2[[#This Row],[Unit Cost]]*Table2[[#This Row],[Units Sold]]</f>
        <v>883881</v>
      </c>
      <c r="O88" s="8">
        <f>Table2[[#This Row],[Total Revenue]]-Table2[[#This Row],[Total Cost]]</f>
        <v>533664</v>
      </c>
      <c r="P88" s="8">
        <f>Table2[[#This Row],[Gross Profit]]*0.95</f>
        <v>506980.8</v>
      </c>
      <c r="Q88" s="14"/>
    </row>
    <row r="89" spans="1:17">
      <c r="A89" t="s">
        <v>64</v>
      </c>
      <c r="B89" t="s">
        <v>101</v>
      </c>
      <c r="C89" t="s">
        <v>23</v>
      </c>
      <c r="D89" t="s">
        <v>18</v>
      </c>
      <c r="E89" t="s">
        <v>30</v>
      </c>
      <c r="F89" s="2">
        <v>41029</v>
      </c>
      <c r="G89" s="11">
        <f>YEAR(Table2[[#This Row],[Order Date]])</f>
        <v>2012</v>
      </c>
      <c r="H89">
        <v>513417565</v>
      </c>
      <c r="I89" s="2">
        <v>41047</v>
      </c>
      <c r="J89" s="3">
        <v>522</v>
      </c>
      <c r="K89" s="5">
        <v>9</v>
      </c>
      <c r="L89" s="5">
        <v>7</v>
      </c>
      <c r="M89" s="8">
        <f>Table2[[#This Row],[Units Sold]]*Table2[[#This Row],[Unit Price]]</f>
        <v>4698</v>
      </c>
      <c r="N89" s="8">
        <f>Table2[[#This Row],[Unit Cost]]*Table2[[#This Row],[Units Sold]]</f>
        <v>3654</v>
      </c>
      <c r="O89" s="8">
        <f>Table2[[#This Row],[Total Revenue]]-Table2[[#This Row],[Total Cost]]</f>
        <v>1044</v>
      </c>
      <c r="P89" s="8">
        <f>Table2[[#This Row],[Gross Profit]]*0.95</f>
        <v>991.8</v>
      </c>
      <c r="Q89" s="14"/>
    </row>
    <row r="90" spans="1:17">
      <c r="A90" t="s">
        <v>20</v>
      </c>
      <c r="B90" t="s">
        <v>102</v>
      </c>
      <c r="C90" t="s">
        <v>46</v>
      </c>
      <c r="D90" t="s">
        <v>14</v>
      </c>
      <c r="E90" t="s">
        <v>19</v>
      </c>
      <c r="F90" s="2">
        <v>42666</v>
      </c>
      <c r="G90" s="11">
        <f>YEAR(Table2[[#This Row],[Order Date]])</f>
        <v>2016</v>
      </c>
      <c r="H90">
        <v>345718562</v>
      </c>
      <c r="I90" s="2">
        <v>42699</v>
      </c>
      <c r="J90" s="3">
        <v>4660</v>
      </c>
      <c r="K90" s="5">
        <v>47</v>
      </c>
      <c r="L90" s="5">
        <v>32</v>
      </c>
      <c r="M90" s="8">
        <f>Table2[[#This Row],[Units Sold]]*Table2[[#This Row],[Unit Price]]</f>
        <v>219020</v>
      </c>
      <c r="N90" s="8">
        <f>Table2[[#This Row],[Unit Cost]]*Table2[[#This Row],[Units Sold]]</f>
        <v>149120</v>
      </c>
      <c r="O90" s="8">
        <f>Table2[[#This Row],[Total Revenue]]-Table2[[#This Row],[Total Cost]]</f>
        <v>69900</v>
      </c>
      <c r="P90" s="8">
        <f>Table2[[#This Row],[Gross Profit]]*0.95</f>
        <v>66405</v>
      </c>
      <c r="Q90" s="14"/>
    </row>
    <row r="91" spans="1:17">
      <c r="A91" t="s">
        <v>21</v>
      </c>
      <c r="B91" t="s">
        <v>77</v>
      </c>
      <c r="C91" t="s">
        <v>25</v>
      </c>
      <c r="D91" t="s">
        <v>14</v>
      </c>
      <c r="E91" t="s">
        <v>15</v>
      </c>
      <c r="F91" s="2">
        <v>42710</v>
      </c>
      <c r="G91" s="11">
        <f>YEAR(Table2[[#This Row],[Order Date]])</f>
        <v>2016</v>
      </c>
      <c r="H91">
        <v>621386563</v>
      </c>
      <c r="I91" s="2">
        <v>42718</v>
      </c>
      <c r="J91" s="3">
        <v>948</v>
      </c>
      <c r="K91" s="5">
        <v>651</v>
      </c>
      <c r="L91" s="5">
        <v>525</v>
      </c>
      <c r="M91" s="8">
        <f>Table2[[#This Row],[Units Sold]]*Table2[[#This Row],[Unit Price]]</f>
        <v>617148</v>
      </c>
      <c r="N91" s="8">
        <f>Table2[[#This Row],[Unit Cost]]*Table2[[#This Row],[Units Sold]]</f>
        <v>497700</v>
      </c>
      <c r="O91" s="8">
        <f>Table2[[#This Row],[Total Revenue]]-Table2[[#This Row],[Total Cost]]</f>
        <v>119448</v>
      </c>
      <c r="P91" s="8">
        <f>Table2[[#This Row],[Gross Profit]]*0.95</f>
        <v>113475.59999999999</v>
      </c>
      <c r="Q91" s="14"/>
    </row>
    <row r="92" spans="1:17">
      <c r="A92" t="s">
        <v>11</v>
      </c>
      <c r="B92" t="s">
        <v>60</v>
      </c>
      <c r="C92" t="s">
        <v>46</v>
      </c>
      <c r="D92" t="s">
        <v>14</v>
      </c>
      <c r="E92" t="s">
        <v>15</v>
      </c>
      <c r="F92" s="2">
        <v>41827</v>
      </c>
      <c r="G92" s="11">
        <f>YEAR(Table2[[#This Row],[Order Date]])</f>
        <v>2014</v>
      </c>
      <c r="H92">
        <v>240470397</v>
      </c>
      <c r="I92" s="2">
        <v>41950</v>
      </c>
      <c r="J92" s="3">
        <v>9389</v>
      </c>
      <c r="K92" s="5">
        <v>47</v>
      </c>
      <c r="L92" s="5">
        <v>32</v>
      </c>
      <c r="M92" s="8">
        <f>Table2[[#This Row],[Units Sold]]*Table2[[#This Row],[Unit Price]]</f>
        <v>441283</v>
      </c>
      <c r="N92" s="8">
        <f>Table2[[#This Row],[Unit Cost]]*Table2[[#This Row],[Units Sold]]</f>
        <v>300448</v>
      </c>
      <c r="O92" s="8">
        <f>Table2[[#This Row],[Total Revenue]]-Table2[[#This Row],[Total Cost]]</f>
        <v>140835</v>
      </c>
      <c r="P92" s="8">
        <f>Table2[[#This Row],[Gross Profit]]*0.95</f>
        <v>133793.25</v>
      </c>
      <c r="Q92" s="14"/>
    </row>
    <row r="93" spans="1:17">
      <c r="A93" t="s">
        <v>64</v>
      </c>
      <c r="B93" t="s">
        <v>68</v>
      </c>
      <c r="C93" t="s">
        <v>25</v>
      </c>
      <c r="D93" t="s">
        <v>18</v>
      </c>
      <c r="E93" t="s">
        <v>30</v>
      </c>
      <c r="F93" s="2">
        <v>41073</v>
      </c>
      <c r="G93" s="11">
        <f>YEAR(Table2[[#This Row],[Order Date]])</f>
        <v>2012</v>
      </c>
      <c r="H93">
        <v>423331391</v>
      </c>
      <c r="I93" s="2">
        <v>41114</v>
      </c>
      <c r="J93" s="3">
        <v>2021</v>
      </c>
      <c r="K93" s="5">
        <v>651</v>
      </c>
      <c r="L93" s="5">
        <v>525</v>
      </c>
      <c r="M93" s="8">
        <f>Table2[[#This Row],[Units Sold]]*Table2[[#This Row],[Unit Price]]</f>
        <v>1315671</v>
      </c>
      <c r="N93" s="8">
        <f>Table2[[#This Row],[Unit Cost]]*Table2[[#This Row],[Units Sold]]</f>
        <v>1061025</v>
      </c>
      <c r="O93" s="8">
        <f>Table2[[#This Row],[Total Revenue]]-Table2[[#This Row],[Total Cost]]</f>
        <v>254646</v>
      </c>
      <c r="P93" s="8">
        <f>Table2[[#This Row],[Gross Profit]]*0.95</f>
        <v>241913.69999999998</v>
      </c>
      <c r="Q93" s="14"/>
    </row>
    <row r="94" spans="1:17">
      <c r="A94" t="s">
        <v>20</v>
      </c>
      <c r="B94" t="s">
        <v>103</v>
      </c>
      <c r="C94" t="s">
        <v>44</v>
      </c>
      <c r="D94" t="s">
        <v>18</v>
      </c>
      <c r="E94" t="s">
        <v>15</v>
      </c>
      <c r="F94" s="2">
        <v>40508</v>
      </c>
      <c r="G94" s="11">
        <f>YEAR(Table2[[#This Row],[Order Date]])</f>
        <v>2010</v>
      </c>
      <c r="H94">
        <v>660643374</v>
      </c>
      <c r="I94" s="2">
        <v>40537</v>
      </c>
      <c r="J94" s="3">
        <v>7910</v>
      </c>
      <c r="K94" s="5">
        <v>437</v>
      </c>
      <c r="L94" s="5">
        <v>263</v>
      </c>
      <c r="M94" s="8">
        <f>Table2[[#This Row],[Units Sold]]*Table2[[#This Row],[Unit Price]]</f>
        <v>3456670</v>
      </c>
      <c r="N94" s="8">
        <f>Table2[[#This Row],[Unit Cost]]*Table2[[#This Row],[Units Sold]]</f>
        <v>2080330</v>
      </c>
      <c r="O94" s="8">
        <f>Table2[[#This Row],[Total Revenue]]-Table2[[#This Row],[Total Cost]]</f>
        <v>1376340</v>
      </c>
      <c r="P94" s="8">
        <f>Table2[[#This Row],[Gross Profit]]*0.95</f>
        <v>1307523</v>
      </c>
      <c r="Q94" s="14"/>
    </row>
    <row r="95" spans="1:17">
      <c r="A95" t="s">
        <v>16</v>
      </c>
      <c r="B95" t="s">
        <v>104</v>
      </c>
      <c r="C95" t="s">
        <v>46</v>
      </c>
      <c r="D95" t="s">
        <v>14</v>
      </c>
      <c r="E95" t="s">
        <v>19</v>
      </c>
      <c r="F95" s="2">
        <v>40582</v>
      </c>
      <c r="G95" s="11">
        <f>YEAR(Table2[[#This Row],[Order Date]])</f>
        <v>2011</v>
      </c>
      <c r="H95">
        <v>963392674</v>
      </c>
      <c r="I95" s="2">
        <v>40623</v>
      </c>
      <c r="J95" s="3">
        <v>8156</v>
      </c>
      <c r="K95" s="5">
        <v>47</v>
      </c>
      <c r="L95" s="5">
        <v>32</v>
      </c>
      <c r="M95" s="8">
        <f>Table2[[#This Row],[Units Sold]]*Table2[[#This Row],[Unit Price]]</f>
        <v>383332</v>
      </c>
      <c r="N95" s="8">
        <f>Table2[[#This Row],[Unit Cost]]*Table2[[#This Row],[Units Sold]]</f>
        <v>260992</v>
      </c>
      <c r="O95" s="8">
        <f>Table2[[#This Row],[Total Revenue]]-Table2[[#This Row],[Total Cost]]</f>
        <v>122340</v>
      </c>
      <c r="P95" s="8">
        <f>Table2[[#This Row],[Gross Profit]]*0.95</f>
        <v>116223</v>
      </c>
      <c r="Q95" s="14"/>
    </row>
    <row r="96" spans="1:17">
      <c r="A96" t="s">
        <v>21</v>
      </c>
      <c r="B96" t="s">
        <v>56</v>
      </c>
      <c r="C96" t="s">
        <v>38</v>
      </c>
      <c r="D96" t="s">
        <v>18</v>
      </c>
      <c r="E96" t="s">
        <v>30</v>
      </c>
      <c r="F96" s="2">
        <v>40750</v>
      </c>
      <c r="G96" s="11">
        <f>YEAR(Table2[[#This Row],[Order Date]])</f>
        <v>2011</v>
      </c>
      <c r="H96">
        <v>512878119</v>
      </c>
      <c r="I96" s="2">
        <v>40611</v>
      </c>
      <c r="J96" s="3">
        <v>888</v>
      </c>
      <c r="K96" s="5">
        <v>109</v>
      </c>
      <c r="L96" s="5">
        <v>36</v>
      </c>
      <c r="M96" s="8">
        <f>Table2[[#This Row],[Units Sold]]*Table2[[#This Row],[Unit Price]]</f>
        <v>96792</v>
      </c>
      <c r="N96" s="8">
        <f>Table2[[#This Row],[Unit Cost]]*Table2[[#This Row],[Units Sold]]</f>
        <v>31968</v>
      </c>
      <c r="O96" s="8">
        <f>Table2[[#This Row],[Total Revenue]]-Table2[[#This Row],[Total Cost]]</f>
        <v>64824</v>
      </c>
      <c r="P96" s="8">
        <f>Table2[[#This Row],[Gross Profit]]*0.95</f>
        <v>61582.799999999996</v>
      </c>
      <c r="Q96" s="14"/>
    </row>
    <row r="97" spans="1:17">
      <c r="A97" t="s">
        <v>35</v>
      </c>
      <c r="B97" t="s">
        <v>105</v>
      </c>
      <c r="C97" t="s">
        <v>23</v>
      </c>
      <c r="D97" t="s">
        <v>14</v>
      </c>
      <c r="E97" t="s">
        <v>26</v>
      </c>
      <c r="F97" s="2">
        <v>40858</v>
      </c>
      <c r="G97" s="11">
        <f>YEAR(Table2[[#This Row],[Order Date]])</f>
        <v>2011</v>
      </c>
      <c r="H97">
        <v>810711038</v>
      </c>
      <c r="I97" s="2">
        <v>40905</v>
      </c>
      <c r="J97" s="3">
        <v>6267</v>
      </c>
      <c r="K97" s="5">
        <v>9</v>
      </c>
      <c r="L97" s="5">
        <v>7</v>
      </c>
      <c r="M97" s="8">
        <f>Table2[[#This Row],[Units Sold]]*Table2[[#This Row],[Unit Price]]</f>
        <v>56403</v>
      </c>
      <c r="N97" s="8">
        <f>Table2[[#This Row],[Unit Cost]]*Table2[[#This Row],[Units Sold]]</f>
        <v>43869</v>
      </c>
      <c r="O97" s="8">
        <f>Table2[[#This Row],[Total Revenue]]-Table2[[#This Row],[Total Cost]]</f>
        <v>12534</v>
      </c>
      <c r="P97" s="8">
        <f>Table2[[#This Row],[Gross Profit]]*0.95</f>
        <v>11907.3</v>
      </c>
      <c r="Q97" s="14"/>
    </row>
    <row r="98" spans="1:17">
      <c r="A98" t="s">
        <v>21</v>
      </c>
      <c r="B98" t="s">
        <v>77</v>
      </c>
      <c r="C98" t="s">
        <v>31</v>
      </c>
      <c r="D98" t="s">
        <v>14</v>
      </c>
      <c r="E98" t="s">
        <v>19</v>
      </c>
      <c r="F98" s="2">
        <v>42522</v>
      </c>
      <c r="G98" s="11">
        <f>YEAR(Table2[[#This Row],[Order Date]])</f>
        <v>2016</v>
      </c>
      <c r="H98">
        <v>728815257</v>
      </c>
      <c r="I98" s="2">
        <v>42550</v>
      </c>
      <c r="J98" s="3">
        <v>1485</v>
      </c>
      <c r="K98" s="5">
        <v>154</v>
      </c>
      <c r="L98" s="5">
        <v>91</v>
      </c>
      <c r="M98" s="8">
        <f>Table2[[#This Row],[Units Sold]]*Table2[[#This Row],[Unit Price]]</f>
        <v>228690</v>
      </c>
      <c r="N98" s="8">
        <f>Table2[[#This Row],[Unit Cost]]*Table2[[#This Row],[Units Sold]]</f>
        <v>135135</v>
      </c>
      <c r="O98" s="8">
        <f>Table2[[#This Row],[Total Revenue]]-Table2[[#This Row],[Total Cost]]</f>
        <v>93555</v>
      </c>
      <c r="P98" s="8">
        <f>Table2[[#This Row],[Gross Profit]]*0.95</f>
        <v>88877.25</v>
      </c>
      <c r="Q98" s="14"/>
    </row>
    <row r="99" spans="1:17">
      <c r="A99" t="s">
        <v>91</v>
      </c>
      <c r="B99" t="s">
        <v>92</v>
      </c>
      <c r="C99" t="s">
        <v>33</v>
      </c>
      <c r="D99" t="s">
        <v>14</v>
      </c>
      <c r="E99" t="s">
        <v>30</v>
      </c>
      <c r="F99" s="2">
        <v>42215</v>
      </c>
      <c r="G99" s="11">
        <f>YEAR(Table2[[#This Row],[Order Date]])</f>
        <v>2015</v>
      </c>
      <c r="H99">
        <v>559427106</v>
      </c>
      <c r="I99" s="2">
        <v>42224</v>
      </c>
      <c r="J99" s="3">
        <v>5767</v>
      </c>
      <c r="K99" s="5">
        <v>82</v>
      </c>
      <c r="L99" s="5">
        <v>57</v>
      </c>
      <c r="M99" s="8">
        <f>Table2[[#This Row],[Units Sold]]*Table2[[#This Row],[Unit Price]]</f>
        <v>472894</v>
      </c>
      <c r="N99" s="8">
        <f>Table2[[#This Row],[Unit Cost]]*Table2[[#This Row],[Units Sold]]</f>
        <v>328719</v>
      </c>
      <c r="O99" s="8">
        <f>Table2[[#This Row],[Total Revenue]]-Table2[[#This Row],[Total Cost]]</f>
        <v>144175</v>
      </c>
      <c r="P99" s="8">
        <f>Table2[[#This Row],[Gross Profit]]*0.95</f>
        <v>136966.25</v>
      </c>
      <c r="Q99" s="14"/>
    </row>
    <row r="100" spans="1:17">
      <c r="A100" t="s">
        <v>21</v>
      </c>
      <c r="B100" t="s">
        <v>106</v>
      </c>
      <c r="C100" t="s">
        <v>29</v>
      </c>
      <c r="D100" t="s">
        <v>14</v>
      </c>
      <c r="E100" t="s">
        <v>26</v>
      </c>
      <c r="F100" s="2">
        <v>40949</v>
      </c>
      <c r="G100" s="11">
        <f>YEAR(Table2[[#This Row],[Order Date]])</f>
        <v>2012</v>
      </c>
      <c r="H100">
        <v>665095412</v>
      </c>
      <c r="I100" s="2">
        <v>40954</v>
      </c>
      <c r="J100" s="3">
        <v>5367</v>
      </c>
      <c r="K100" s="5">
        <v>668</v>
      </c>
      <c r="L100" s="5">
        <v>503</v>
      </c>
      <c r="M100" s="8">
        <f>Table2[[#This Row],[Units Sold]]*Table2[[#This Row],[Unit Price]]</f>
        <v>3585156</v>
      </c>
      <c r="N100" s="8">
        <f>Table2[[#This Row],[Unit Cost]]*Table2[[#This Row],[Units Sold]]</f>
        <v>2699601</v>
      </c>
      <c r="O100" s="8">
        <f>Table2[[#This Row],[Total Revenue]]-Table2[[#This Row],[Total Cost]]</f>
        <v>885555</v>
      </c>
      <c r="P100" s="8">
        <f>Table2[[#This Row],[Gross Profit]]*0.95</f>
        <v>841277.25</v>
      </c>
      <c r="Q100" s="14"/>
    </row>
    <row r="101" spans="1:17">
      <c r="J101" s="9">
        <f>SUM(J2:J100)</f>
        <v>511092</v>
      </c>
      <c r="K101" s="9"/>
      <c r="L101" s="10"/>
      <c r="M101" s="10">
        <f>SUM(M2:M100)</f>
        <v>136105246</v>
      </c>
      <c r="N101" s="10">
        <f>SUM(N2:N100)</f>
        <v>90157581</v>
      </c>
      <c r="O101" s="10">
        <f>SUM(O2:O100)</f>
        <v>45947665</v>
      </c>
      <c r="P101" s="20">
        <f>SUBTOTAL(109,Table2[Net Profit])</f>
        <v>43650281.750000007</v>
      </c>
      <c r="Q101" s="1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 Set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Nwando Michael</dc:creator>
  <cp:lastModifiedBy>Saviola</cp:lastModifiedBy>
  <dcterms:created xsi:type="dcterms:W3CDTF">2024-02-21T00:40:00Z</dcterms:created>
  <dcterms:modified xsi:type="dcterms:W3CDTF">2026-02-19T11:14:05Z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1033-11.1.0.11720</vt:lpwstr>
  </property>
</Properties>
</file>